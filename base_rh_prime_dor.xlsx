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argos_Salários" sheetId="2" state="visible" r:id="rId4"/>
    <sheet name="Movimentação_RH" sheetId="3" state="visible" r:id="rId5"/>
    <sheet name="Clima_Desempenho" sheetId="4" state="visible" r:id="rId6"/>
    <sheet name="Orçamento_OPEX" sheetId="5" state="visible" r:id="rId7"/>
    <sheet name="Players_Mercado" sheetId="6" state="visible" r:id="rId8"/>
    <sheet name="Cenários_Preditivos" sheetId="7" state="visible" r:id="rId9"/>
    <sheet name="KPIs_Resum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<sst xmlns="http://schemas.openxmlformats.org/spreadsheetml/2006/main" count="333" uniqueCount="273">
  <si>
    <t xml:space="preserve">REDE D'OR — Dashboard RH | Base de Dados Gerencial</t>
  </si>
  <si>
    <t xml:space="preserve">SOBRE ESTE ARQUIVO</t>
  </si>
  <si>
    <t xml:space="preserve">Versão</t>
  </si>
  <si>
    <t xml:space="preserve">1.0</t>
  </si>
  <si>
    <t xml:space="preserve">Data Base</t>
  </si>
  <si>
    <t xml:space="preserve">Jun/2025</t>
  </si>
  <si>
    <t xml:space="preserve">Unidade</t>
  </si>
  <si>
    <t xml:space="preserve">Hospital RJ</t>
  </si>
  <si>
    <t xml:space="preserve">Headcount Base</t>
  </si>
  <si>
    <t xml:space="preserve">ABAS DISPONÍVEIS</t>
  </si>
  <si>
    <t xml:space="preserve">1. LEIA-ME</t>
  </si>
  <si>
    <t xml:space="preserve">Esta aba com instruções e configurações</t>
  </si>
  <si>
    <t xml:space="preserve">2. Cargos_Salários</t>
  </si>
  <si>
    <t xml:space="preserve">Pesquisa salarial + benchmarks de mercado por cargo</t>
  </si>
  <si>
    <t xml:space="preserve">3. Movimentação_RH</t>
  </si>
  <si>
    <t xml:space="preserve">Turnover, absenteísmo e fluxo mensal</t>
  </si>
  <si>
    <t xml:space="preserve">4. Clima_Desempenho</t>
  </si>
  <si>
    <t xml:space="preserve">9-Box, pesquisa de clima e T&amp;D</t>
  </si>
  <si>
    <t xml:space="preserve">5. Orçamento_OPEX</t>
  </si>
  <si>
    <t xml:space="preserve">Budget de pessoal e OPEX de RH</t>
  </si>
  <si>
    <t xml:space="preserve">6. Players_Mercado</t>
  </si>
  <si>
    <t xml:space="preserve">Benchmarks comparativos dos concorrentes</t>
  </si>
  <si>
    <t xml:space="preserve">7. Cenários_Preditivos</t>
  </si>
  <si>
    <t xml:space="preserve">Análise preditiva e planos de ação</t>
  </si>
  <si>
    <t xml:space="preserve">8. KPIs_Resumo</t>
  </si>
  <si>
    <t xml:space="preserve">Painel de KPIs consolidados para geração do data.json</t>
  </si>
  <si>
    <t xml:space="preserve">COMO USAR</t>
  </si>
  <si>
    <t xml:space="preserve">Preencha os dados reais</t>
  </si>
  <si>
    <t xml:space="preserve">Substitua os valores azuis pelos dados do seu HRIS/DP</t>
  </si>
  <si>
    <t xml:space="preserve">Formulas</t>
  </si>
  <si>
    <t xml:space="preserve">Não altere células pretas — são cálculos automáticos</t>
  </si>
  <si>
    <t xml:space="preserve">Geração do JSON</t>
  </si>
  <si>
    <t xml:space="preserve">Exporte via botão no dashboard HTML ou copie os dados</t>
  </si>
  <si>
    <t xml:space="preserve">Paleta de cores</t>
  </si>
  <si>
    <t xml:space="preserve">Azul=entrada manual | Preto=fórmula | Verde=link entre abas</t>
  </si>
  <si>
    <t xml:space="preserve">Cargo</t>
  </si>
  <si>
    <t xml:space="preserve">Área</t>
  </si>
  <si>
    <t xml:space="preserve">Nível</t>
  </si>
  <si>
    <t xml:space="preserve">Headcount</t>
  </si>
  <si>
    <t xml:space="preserve">D'Or (R$)</t>
  </si>
  <si>
    <t xml:space="preserve">Sírio (R$)</t>
  </si>
  <si>
    <t xml:space="preserve">Hapvida (R$)</t>
  </si>
  <si>
    <t xml:space="preserve">Fleury (R$)</t>
  </si>
  <si>
    <t xml:space="preserve">Dasa (R$)</t>
  </si>
  <si>
    <t xml:space="preserve">Mktd P50 (R$)</t>
  </si>
  <si>
    <t xml:space="preserve">Mktd P75 (R$)</t>
  </si>
  <si>
    <t xml:space="preserve">Gap D'Or vs P50</t>
  </si>
  <si>
    <t xml:space="preserve">Gap D'Or vs P75</t>
  </si>
  <si>
    <t xml:space="preserve">Bônus Anual %</t>
  </si>
  <si>
    <t xml:space="preserve">Benefícios/mês (R$)</t>
  </si>
  <si>
    <t xml:space="preserve">Encargos %</t>
  </si>
  <si>
    <t xml:space="preserve">Custo Total Mensal</t>
  </si>
  <si>
    <t xml:space="preserve">Custo Total Anual</t>
  </si>
  <si>
    <t xml:space="preserve">Fonte: Pesquisa Salarial D'Or ESG 2023 + Robert Half + MR Survey 2024</t>
  </si>
  <si>
    <t xml:space="preserve">HRBP Sênior</t>
  </si>
  <si>
    <t xml:space="preserve">Gente &amp; Gestão</t>
  </si>
  <si>
    <t xml:space="preserve">Sênior</t>
  </si>
  <si>
    <t xml:space="preserve">HRBP Pleno</t>
  </si>
  <si>
    <t xml:space="preserve">Pleno</t>
  </si>
  <si>
    <t xml:space="preserve">Analista RH Sênior</t>
  </si>
  <si>
    <t xml:space="preserve">Analista RH Pleno</t>
  </si>
  <si>
    <t xml:space="preserve">Analista RH Junior</t>
  </si>
  <si>
    <t xml:space="preserve">Júnior</t>
  </si>
  <si>
    <t xml:space="preserve">Enfermeiro Sênior</t>
  </si>
  <si>
    <t xml:space="preserve">Assistencial</t>
  </si>
  <si>
    <t xml:space="preserve">Enfermeiro Pleno</t>
  </si>
  <si>
    <t xml:space="preserve">Técnico Enfermagem</t>
  </si>
  <si>
    <t xml:space="preserve">Técnico</t>
  </si>
  <si>
    <t xml:space="preserve">Auxiliar Enfermagem</t>
  </si>
  <si>
    <t xml:space="preserve">Operacional</t>
  </si>
  <si>
    <t xml:space="preserve">Médico (Plantonista)</t>
  </si>
  <si>
    <t xml:space="preserve">Especialista</t>
  </si>
  <si>
    <t xml:space="preserve">Coordenador Médico</t>
  </si>
  <si>
    <t xml:space="preserve">Gestão</t>
  </si>
  <si>
    <t xml:space="preserve">Gerente Unidade</t>
  </si>
  <si>
    <t xml:space="preserve">Supervisor Operacional</t>
  </si>
  <si>
    <t xml:space="preserve">Liderança</t>
  </si>
  <si>
    <t xml:space="preserve">Assistente Administrativo</t>
  </si>
  <si>
    <t xml:space="preserve">Administrativo</t>
  </si>
  <si>
    <t xml:space="preserve">Analista Financeiro</t>
  </si>
  <si>
    <t xml:space="preserve">Nutricionista</t>
  </si>
  <si>
    <t xml:space="preserve">Assistente Social</t>
  </si>
  <si>
    <t xml:space="preserve">Farmacêutico</t>
  </si>
  <si>
    <t xml:space="preserve">TOTAL</t>
  </si>
  <si>
    <t xml:space="preserve">Mês</t>
  </si>
  <si>
    <t xml:space="preserve">Admissões</t>
  </si>
  <si>
    <t xml:space="preserve">Desligamentos</t>
  </si>
  <si>
    <t xml:space="preserve">Turnover %</t>
  </si>
  <si>
    <t xml:space="preserve">Absenteísmo %</t>
  </si>
  <si>
    <t xml:space="preserve">Saldo</t>
  </si>
  <si>
    <t xml:space="preserve">Custo Turnover (R$)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</si>
  <si>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</si>
  <si>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</si>
  <si>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</si>
  <si>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</si>
  <si>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</si>
  <si>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</si>
  <si>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</si>
  <si>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</si>
  <si>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</si>
  <si>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</si>
  <si>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</si>
  <si>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</si>
  <si>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ANUAL</t>
  </si>
  <si>
    <t xml:space="preserve">MATRIZ 9-BOX — Distribuição do Quadro</t>
  </si>
  <si>
    <t xml:space="preserve">Quadrante</t>
  </si>
  <si>
    <t xml:space="preserve">Entrega</t>
  </si>
  <si>
    <t xml:space="preserve">Potencial</t>
  </si>
  <si>
    <t xml:space="preserve">Qtd</t>
  </si>
  <si>
    <t xml:space="preserve">% Quadro</t>
  </si>
  <si>
    <t xml:space="preserve">Ação Recomendada</t>
  </si>
  <si>
    <t xml:space="preserve">Alto Potencial</t>
  </si>
  <si>
    <t xml:space="preserve">Alta</t>
  </si>
  <si>
    <t xml:space="preserve">Alto</t>
  </si>
  <si>
    <t xml:space="preserve">Plano de Sucessão + Aceleração de Carreira</t>
  </si>
  <si>
    <t xml:space="preserve">Star / High Performer</t>
  </si>
  <si>
    <t xml:space="preserve">Excepcional</t>
  </si>
  <si>
    <t xml:space="preserve">Retenção ativa: bônus + projeto estratégico</t>
  </si>
  <si>
    <t xml:space="preserve">Comprometido</t>
  </si>
  <si>
    <t xml:space="preserve">Média</t>
  </si>
  <si>
    <t xml:space="preserve">PDI com foco em potencial latente</t>
  </si>
  <si>
    <t xml:space="preserve">Core</t>
  </si>
  <si>
    <t xml:space="preserve">Médio</t>
  </si>
  <si>
    <t xml:space="preserve">Manutenção e reconhecimento por consistência</t>
  </si>
  <si>
    <t xml:space="preserve">Questionável</t>
  </si>
  <si>
    <t xml:space="preserve">Baixo</t>
  </si>
  <si>
    <t xml:space="preserve">Conversa estruturada sobre aspirações</t>
  </si>
  <si>
    <t xml:space="preserve">Inconsistente</t>
  </si>
  <si>
    <t xml:space="preserve">Baixa</t>
  </si>
  <si>
    <t xml:space="preserve">Mentoria e clareza de expectativas</t>
  </si>
  <si>
    <t xml:space="preserve">Risco</t>
  </si>
  <si>
    <t xml:space="preserve">PIP (Plano de Melhoria de Performance)</t>
  </si>
  <si>
    <t xml:space="preserve">Em Observação</t>
  </si>
  <si>
    <t xml:space="preserve">Coaching + revisão de fit funcional</t>
  </si>
  <si>
    <t xml:space="preserve">Baixo Desempenho</t>
  </si>
  <si>
    <t xml:space="preserve">Desligamento planejado ou reposicionamento</t>
  </si>
  <si>
    <t xml:space="preserve">PESQUISA DE CLIMA — Notas por Pilar (escala 0-100)</t>
  </si>
  <si>
    <t xml:space="preserve">Pilar</t>
  </si>
  <si>
    <t xml:space="preserve">Nota Unidade</t>
  </si>
  <si>
    <t xml:space="preserve">Benchmark Setor</t>
  </si>
  <si>
    <t xml:space="preserve">Gap</t>
  </si>
  <si>
    <t xml:space="preserve">Situação</t>
  </si>
  <si>
    <t xml:space="preserve">✅ Acima</t>
  </si>
  <si>
    <t xml:space="preserve">Orgulho</t>
  </si>
  <si>
    <t xml:space="preserve">Camaradagem</t>
  </si>
  <si>
    <t xml:space="preserve">Credibilidade</t>
  </si>
  <si>
    <t xml:space="preserve">Imparcialidade</t>
  </si>
  <si>
    <t xml:space="preserve">Respeito</t>
  </si>
  <si>
    <t xml:space="preserve">Remuneração</t>
  </si>
  <si>
    <t xml:space="preserve">Carreira</t>
  </si>
  <si>
    <t xml:space="preserve">Linha Orçamentária</t>
  </si>
  <si>
    <t xml:space="preserve">Categoria</t>
  </si>
  <si>
    <t xml:space="preserve">Orçado Mensal (R$)</t>
  </si>
  <si>
    <t xml:space="preserve">Orçado Anual (R$)</t>
  </si>
  <si>
    <t xml:space="preserve">Realizado Anual (R$)</t>
  </si>
  <si>
    <t xml:space="preserve">Variação (R$)</t>
  </si>
  <si>
    <t xml:space="preserve">Variação %</t>
  </si>
  <si>
    <t xml:space="preserve">Status</t>
  </si>
  <si>
    <t xml:space="preserve">Entradas azuis = editáveis | Preto = fórmulas automáticas</t>
  </si>
  <si>
    <t xml:space="preserve">Salários e Encargos</t>
  </si>
  <si>
    <t xml:space="preserve">Folha</t>
  </si>
  <si>
    <t xml:space="preserve">✅ OK</t>
  </si>
  <si>
    <t xml:space="preserve">Benefícios (VT+VR+Plano)</t>
  </si>
  <si>
    <t xml:space="preserve">Benefícios</t>
  </si>
  <si>
    <t xml:space="preserve">Horas Extras</t>
  </si>
  <si>
    <t xml:space="preserve">⚠️ Alerta</t>
  </si>
  <si>
    <t xml:space="preserve">Recrutamento &amp; Seleção</t>
  </si>
  <si>
    <t xml:space="preserve">R&amp;S</t>
  </si>
  <si>
    <t xml:space="preserve">Treinamento &amp; Desenvolvimento</t>
  </si>
  <si>
    <t xml:space="preserve">T&amp;D</t>
  </si>
  <si>
    <t xml:space="preserve">Medicina do Trabalho</t>
  </si>
  <si>
    <t xml:space="preserve">SSO</t>
  </si>
  <si>
    <t xml:space="preserve">Uniformes &amp; EPIs</t>
  </si>
  <si>
    <t xml:space="preserve">Software RH (HRIS)</t>
  </si>
  <si>
    <t xml:space="preserve">TI</t>
  </si>
  <si>
    <t xml:space="preserve">Consultorias RH</t>
  </si>
  <si>
    <t xml:space="preserve">Outros</t>
  </si>
  <si>
    <t xml:space="preserve">Eventos Corporativos</t>
  </si>
  <si>
    <t xml:space="preserve">Engajamento</t>
  </si>
  <si>
    <t xml:space="preserve">TOTAL OPEX RH</t>
  </si>
  <si>
    <t xml:space="preserve">Empresa</t>
  </si>
  <si>
    <t xml:space="preserve">Segmento</t>
  </si>
  <si>
    <t xml:space="preserve">Colaboradores</t>
  </si>
  <si>
    <t xml:space="preserve">eNPS</t>
  </si>
  <si>
    <t xml:space="preserve">Mulheres %</t>
  </si>
  <si>
    <t xml:space="preserve">T&amp;D (h/ano)</t>
  </si>
  <si>
    <t xml:space="preserve">Custo Turn. R$ K</t>
  </si>
  <si>
    <t xml:space="preserve">Receita R$ Bi</t>
  </si>
  <si>
    <t xml:space="preserve">Rede D'Or</t>
  </si>
  <si>
    <t xml:space="preserve">Hospitalar Premium</t>
  </si>
  <si>
    <t xml:space="preserve">Sírio-Libanês</t>
  </si>
  <si>
    <t xml:space="preserve">Hapvida (NDI)</t>
  </si>
  <si>
    <t xml:space="preserve">Planos + Hospitais</t>
  </si>
  <si>
    <t xml:space="preserve">Fleury+Pardini</t>
  </si>
  <si>
    <t xml:space="preserve">Diagnósticos</t>
  </si>
  <si>
    <t xml:space="preserve">Dasa+Amil JV</t>
  </si>
  <si>
    <t xml:space="preserve">Diagnósticos + Hosp.</t>
  </si>
  <si>
    <t xml:space="preserve">Mater Dei</t>
  </si>
  <si>
    <t xml:space="preserve">Hospitalar Regional</t>
  </si>
  <si>
    <t xml:space="preserve">Benchmark ANAHP</t>
  </si>
  <si>
    <t xml:space="preserve">Setor Privado</t>
  </si>
  <si>
    <t xml:space="preserve">—</t>
  </si>
  <si>
    <t xml:space="preserve">ANÁLISE DE CENÁRIOS PREDITIVOS — Horizonte 12 meses</t>
  </si>
  <si>
    <t xml:space="preserve">Cenário</t>
  </si>
  <si>
    <t xml:space="preserve">Probabilidade</t>
  </si>
  <si>
    <t xml:space="preserve">Descrição</t>
  </si>
  <si>
    <t xml:space="preserve">Turn. Proj.</t>
  </si>
  <si>
    <t xml:space="preserve">Absent. Proj.</t>
  </si>
  <si>
    <t xml:space="preserve">eNPS Proj.</t>
  </si>
  <si>
    <t xml:space="preserve">HC Proj.</t>
  </si>
  <si>
    <t xml:space="preserve">Custo Adic. R$ K</t>
  </si>
  <si>
    <t xml:space="preserve">Plano de Ação (resumo)</t>
  </si>
  <si>
    <t xml:space="preserve">Otimista</t>
  </si>
  <si>
    <t xml:space="preserve">25%</t>
  </si>
  <si>
    <t xml:space="preserve">Economia aquece, planos de saúde expandem, demanda por leitos cresce 12%</t>
  </si>
  <si>
    <t xml:space="preserve">15.2%</t>
  </si>
  <si>
    <t xml:space="preserve">4.2%</t>
  </si>
  <si>
    <t xml:space="preserve">+48</t>
  </si>
  <si>
    <t xml:space="preserve">Acelerar programa de trainee e jovem aprendiz | Criar plano de carreira em Y (técnico x gestão)</t>
  </si>
  <si>
    <t xml:space="preserve">Base</t>
  </si>
  <si>
    <t xml:space="preserve">55%</t>
  </si>
  <si>
    <t xml:space="preserve">Crescimento moderado, pressão inflacionária em insumos e folha de ~6% a.a.</t>
  </si>
  <si>
    <t xml:space="preserve">18.5%</t>
  </si>
  <si>
    <t xml:space="preserve">4.9%</t>
  </si>
  <si>
    <t xml:space="preserve">+43</t>
  </si>
  <si>
    <t xml:space="preserve">Revisão salarial anual alinhada ao P50 do mercado | Programa de retenção focado em técnicos de enfermagem (top turnover)</t>
  </si>
  <si>
    <t xml:space="preserve">Pessimista</t>
  </si>
  <si>
    <t xml:space="preserve">20%</t>
  </si>
  <si>
    <t xml:space="preserve">Retração econômica, glosa de planos aumenta 15%, pressão por redução de 8% em headcount</t>
  </si>
  <si>
    <t xml:space="preserve">24.8%</t>
  </si>
  <si>
    <t xml:space="preserve">6.1%</t>
  </si>
  <si>
    <t xml:space="preserve">+32</t>
  </si>
  <si>
    <t xml:space="preserve">Plano de desligamento voluntário incentivado (PDV) estruturado | Revisão de terceiros e redução de horas extras</t>
  </si>
  <si>
    <t xml:space="preserve">Fusão / M&amp;A</t>
  </si>
  <si>
    <t xml:space="preserve">15%</t>
  </si>
  <si>
    <t xml:space="preserve">Aquisição de nova unidade hospitalar ou fusão com player regional no RJ</t>
  </si>
  <si>
    <t xml:space="preserve">28.0%</t>
  </si>
  <si>
    <t xml:space="preserve">6.8%</t>
  </si>
  <si>
    <t xml:space="preserve">+28</t>
  </si>
  <si>
    <t xml:space="preserve">Due diligence de cultura e clima organizacional da unidade alvo | Plano de integração cultural 100 dias pós-fusão</t>
  </si>
  <si>
    <t xml:space="preserve">PLANOS DE AÇÃO DETALHADOS</t>
  </si>
  <si>
    <t xml:space="preserve">Cenário Otimista (25% prob.)</t>
  </si>
  <si>
    <t xml:space="preserve">Cenário Base (55% prob.)</t>
  </si>
  <si>
    <t xml:space="preserve">Cenário Pessimista (20% prob.)</t>
  </si>
  <si>
    <t xml:space="preserve">Cenário Fusão / M&amp;A (15% prob.)</t>
  </si>
  <si>
    <t xml:space="preserve">  1. Due diligence de cultura e clima organizacional da unidade alvo</t>
  </si>
  <si>
    <t xml:space="preserve">  2. Plano de integração cultural 100 dias pós-fusão</t>
  </si>
  <si>
    <t xml:space="preserve">  3. Mapeamento de talentos críticos a reter na operação adquirida</t>
  </si>
  <si>
    <t xml:space="preserve">  4. Harmonização de políticas de RH e benefícios entre as bases</t>
  </si>
  <si>
    <t xml:space="preserve">KPIs CONSOLIDADOS — Unidade RJ</t>
  </si>
  <si>
    <t xml:space="preserve">Headcount Total</t>
  </si>
  <si>
    <t xml:space="preserve">Colaboradores ativos</t>
  </si>
  <si>
    <t xml:space="preserve">Turnover Anual</t>
  </si>
  <si>
    <t xml:space="preserve">Meta: &lt;20%</t>
  </si>
  <si>
    <t xml:space="preserve">Absenteísmo</t>
  </si>
  <si>
    <t xml:space="preserve">Meta: &lt;5%</t>
  </si>
  <si>
    <t xml:space="preserve">Benchmark setor: +30</t>
  </si>
  <si>
    <t xml:space="preserve">Cobertura Avaliação</t>
  </si>
  <si>
    <t xml:space="preserve">Meta: &gt;85%</t>
  </si>
  <si>
    <t xml:space="preserve">T&amp;D Horas Médias</t>
  </si>
  <si>
    <t xml:space="preserve">Brasil: 24h</t>
  </si>
  <si>
    <t xml:space="preserve">Promoções Internas</t>
  </si>
  <si>
    <t xml:space="preserve">Benchmark: 50%</t>
  </si>
  <si>
    <t xml:space="preserve">Mulheres no Quadro</t>
  </si>
  <si>
    <t xml:space="preserve">Setor: 68%</t>
  </si>
  <si>
    <t xml:space="preserve">Custo Folha Mensal</t>
  </si>
  <si>
    <t xml:space="preserve">Total CLT+encargos</t>
  </si>
  <si>
    <t xml:space="preserve">Custo Turnover Anual</t>
  </si>
  <si>
    <t xml:space="preserve">@ R$8.5K/desligamento</t>
  </si>
  <si>
    <t xml:space="preserve">Vagas Abertas</t>
  </si>
  <si>
    <t xml:space="preserve">Posições em aberto</t>
  </si>
  <si>
    <t xml:space="preserve">Tempo Médio Contratação</t>
  </si>
  <si>
    <t xml:space="preserve">Benchmark: &lt;30 dias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</si>
</sst>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&quot;R$ &quot;#,##0"/>
    <numFmt numFmtId="167" formatCode="0%"/>
    <numFmt numFmtId="168" formatCode="0.00%"/>
    <numFmt numFmtId="169" formatCode="0.0%"/>
    <numFmt numFmtId="170" formatCode="\+#,##0;\-#,##0;\-"/>
    <numFmt numFmtId="171" formatCode="\+0;\-0;0"/>
    <numFmt numFmtId="172" formatCode="&quot;R$ &quot;#,##0;&quot;(R$ &quot;#,##0\);\-"/>
    <numFmt numFmtId="173" formatCode="0.0%;\(0.0%\);\-"/>
    <numFmt numFmtId="174" formatCode="&quot;R$ &quot;#,##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CC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0000C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0000CC"/>
      <name val="Arial"/>
      <family val="0"/>
      <charset val="1"/>
    </font>
    <font>
      <sz val="9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2855"/>
        <bgColor rgb="FF003300"/>
      </patternFill>
    </fill>
    <fill>
      <patternFill patternType="solid">
        <fgColor rgb="FF003DA5"/>
        <bgColor rgb="FF002855"/>
      </patternFill>
    </fill>
    <fill>
      <patternFill patternType="solid">
        <fgColor rgb="FFFFFFFF"/>
        <bgColor rgb="FFF4F6FA"/>
      </patternFill>
    </fill>
    <fill>
      <patternFill patternType="solid">
        <fgColor rgb="FFF4F6FA"/>
        <bgColor rgb="FFFFFFFF"/>
      </patternFill>
    </fill>
    <fill>
      <patternFill patternType="solid">
        <fgColor rgb="FFC6A27C"/>
        <bgColor rgb="FFFF8080"/>
      </patternFill>
    </fill>
    <fill>
      <patternFill patternType="solid">
        <fgColor rgb="FF009681"/>
        <bgColor rgb="FF008080"/>
      </patternFill>
    </fill>
    <fill>
      <patternFill patternType="solid">
        <fgColor rgb="FFE31C79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81"/>
      <rgbColor rgb="FFCCCCCC"/>
      <rgbColor rgb="FF808080"/>
      <rgbColor rgb="FF9999FF"/>
      <rgbColor rgb="FFE31C79"/>
      <rgbColor rgb="FFF4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6A27C"/>
      <rgbColor rgb="FF002855"/>
      <rgbColor rgb="FF339966"/>
      <rgbColor rgb="FF003300"/>
      <rgbColor rgb="FF333300"/>
      <rgbColor rgb="FF993300"/>
      <rgbColor rgb="FF993366"/>
      <rgbColor rgb="FF003DA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39.75" hidden="false" customHeight="true" outlineLevel="0" collapsed="false">
      <c r="B1" s="1" t="s">
        <v>0</v>
      </c>
      <c r="C1" s="1"/>
    </row>
    <row r="4" customFormat="false" ht="15" hidden="false" customHeight="false" outlineLevel="0" collapsed="false">
      <c r="B4" s="2" t="s">
        <v>1</v>
      </c>
      <c r="C4" s="3"/>
    </row>
    <row r="5" customFormat="false" ht="15" hidden="false" customHeight="false" outlineLevel="0" collapsed="false">
      <c r="B5" s="4" t="s">
        <v>2</v>
      </c>
      <c r="C5" s="4" t="s">
        <v>3</v>
      </c>
    </row>
    <row r="6" customFormat="false" ht="15" hidden="false" customHeight="false" outlineLevel="0" collapsed="false">
      <c r="B6" s="5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4" t="s">
        <v>7</v>
      </c>
    </row>
    <row r="8" customFormat="false" ht="15" hidden="false" customHeight="false" outlineLevel="0" collapsed="false">
      <c r="B8" s="5" t="s">
        <v>8</v>
      </c>
      <c r="C8" s="5" t="n">
        <v>512</v>
      </c>
    </row>
    <row r="10" customFormat="false" ht="15" hidden="false" customHeight="false" outlineLevel="0" collapsed="false">
      <c r="B10" s="2" t="s">
        <v>9</v>
      </c>
      <c r="C10" s="3"/>
    </row>
    <row r="11" customFormat="false" ht="15" hidden="false" customHeight="false" outlineLevel="0" collapsed="false">
      <c r="B11" s="4" t="s">
        <v>10</v>
      </c>
      <c r="C11" s="4" t="s">
        <v>11</v>
      </c>
    </row>
    <row r="12" customFormat="false" ht="15" hidden="false" customHeight="false" outlineLevel="0" collapsed="false">
      <c r="B12" s="5" t="s">
        <v>12</v>
      </c>
      <c r="C12" s="5" t="s">
        <v>13</v>
      </c>
    </row>
    <row r="13" customFormat="false" ht="15" hidden="false" customHeight="false" outlineLevel="0" collapsed="false">
      <c r="B13" s="4" t="s">
        <v>14</v>
      </c>
      <c r="C13" s="4" t="s">
        <v>15</v>
      </c>
    </row>
    <row r="14" customFormat="false" ht="15" hidden="false" customHeight="false" outlineLevel="0" collapsed="false">
      <c r="B14" s="5" t="s">
        <v>16</v>
      </c>
      <c r="C14" s="5" t="s">
        <v>17</v>
      </c>
    </row>
    <row r="15" customFormat="false" ht="15" hidden="false" customHeight="false" outlineLevel="0" collapsed="false">
      <c r="B15" s="4" t="s">
        <v>18</v>
      </c>
      <c r="C15" s="4" t="s">
        <v>19</v>
      </c>
    </row>
    <row r="16" customFormat="false" ht="15" hidden="false" customHeight="false" outlineLevel="0" collapsed="false">
      <c r="B16" s="5" t="s">
        <v>20</v>
      </c>
      <c r="C16" s="5" t="s">
        <v>21</v>
      </c>
    </row>
    <row r="17" customFormat="false" ht="15" hidden="false" customHeight="false" outlineLevel="0" collapsed="false">
      <c r="B17" s="4" t="s">
        <v>22</v>
      </c>
      <c r="C17" s="4" t="s">
        <v>23</v>
      </c>
    </row>
    <row r="18" customFormat="false" ht="15" hidden="false" customHeight="false" outlineLevel="0" collapsed="false">
      <c r="B18" s="5" t="s">
        <v>24</v>
      </c>
      <c r="C18" s="5" t="s">
        <v>25</v>
      </c>
    </row>
    <row r="20" customFormat="false" ht="15" hidden="false" customHeight="false" outlineLevel="0" collapsed="false">
      <c r="B20" s="2" t="s">
        <v>26</v>
      </c>
      <c r="C20" s="3"/>
    </row>
    <row r="21" customFormat="false" ht="15" hidden="false" customHeight="false" outlineLevel="0" collapsed="false">
      <c r="B21" s="4" t="s">
        <v>27</v>
      </c>
      <c r="C21" s="4" t="s">
        <v>28</v>
      </c>
    </row>
    <row r="22" customFormat="false" ht="15" hidden="false" customHeight="false" outlineLevel="0" collapsed="false">
      <c r="B22" s="5" t="s">
        <v>29</v>
      </c>
      <c r="C22" s="5" t="s">
        <v>30</v>
      </c>
    </row>
    <row r="23" customFormat="false" ht="15" hidden="false" customHeight="false" outlineLevel="0" collapsed="false">
      <c r="B23" s="4" t="s">
        <v>31</v>
      </c>
      <c r="C23" s="4" t="s">
        <v>32</v>
      </c>
    </row>
    <row r="24" customFormat="false" ht="15" hidden="false" customHeight="false" outlineLevel="0" collapsed="false">
      <c r="B24" s="5" t="s">
        <v>33</v>
      </c>
      <c r="C24" s="5" t="s">
        <v>34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9" min="5" style="0" width="11"/>
    <col collapsed="false" customWidth="true" hidden="false" outlineLevel="0" max="13" min="10" style="0" width="12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8" min="17" style="0" width="16"/>
  </cols>
  <sheetData>
    <row r="1" customFormat="false" ht="23.85" hidden="false" customHeight="fals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51</v>
      </c>
      <c r="R1" s="6" t="s">
        <v>52</v>
      </c>
    </row>
    <row r="2" customFormat="false" ht="15" hidden="false" customHeight="true" outlineLevel="0" collapsed="false">
      <c r="A2" s="7" t="s">
        <v>53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customFormat="false" ht="15" hidden="false" customHeight="false" outlineLevel="0" collapsed="false">
      <c r="A3" s="8" t="s">
        <v>54</v>
      </c>
      <c r="B3" s="9" t="s">
        <v>55</v>
      </c>
      <c r="C3" s="9" t="s">
        <v>56</v>
      </c>
      <c r="D3" s="10" t="n">
        <v>4</v>
      </c>
      <c r="E3" s="11" t="n">
        <v>12800</v>
      </c>
      <c r="F3" s="11" t="n">
        <v>15200</v>
      </c>
      <c r="G3" s="11" t="n">
        <v>9800</v>
      </c>
      <c r="H3" s="11" t="n">
        <v>13500</v>
      </c>
      <c r="I3" s="11" t="n">
        <v>11200</v>
      </c>
      <c r="J3" s="11" t="n">
        <v>12500</v>
      </c>
      <c r="K3" s="11" t="n">
        <v>14800</v>
      </c>
      <c r="L3" s="12" t="n">
        <f aca="false">E3-J3</f>
        <v>300</v>
      </c>
      <c r="M3" s="12" t="n">
        <f aca="false">E3-K3</f>
        <v>-2000</v>
      </c>
      <c r="N3" s="13" t="n">
        <v>0.15</v>
      </c>
      <c r="O3" s="11" t="n">
        <v>2200</v>
      </c>
      <c r="P3" s="13" t="n">
        <v>0.72</v>
      </c>
      <c r="Q3" s="14" t="n">
        <f aca="false">(E3*(1+P3)+O3)*D3</f>
        <v>96864</v>
      </c>
      <c r="R3" s="14" t="n">
        <f aca="false">Q3*12</f>
        <v>1162368</v>
      </c>
    </row>
    <row r="4" customFormat="false" ht="15" hidden="false" customHeight="false" outlineLevel="0" collapsed="false">
      <c r="A4" s="15" t="s">
        <v>57</v>
      </c>
      <c r="B4" s="16" t="s">
        <v>55</v>
      </c>
      <c r="C4" s="16" t="s">
        <v>58</v>
      </c>
      <c r="D4" s="17" t="n">
        <v>8</v>
      </c>
      <c r="E4" s="18" t="n">
        <v>8900</v>
      </c>
      <c r="F4" s="18" t="n">
        <v>10500</v>
      </c>
      <c r="G4" s="18" t="n">
        <v>7200</v>
      </c>
      <c r="H4" s="18" t="n">
        <v>9400</v>
      </c>
      <c r="I4" s="18" t="n">
        <v>8100</v>
      </c>
      <c r="J4" s="18" t="n">
        <v>8800</v>
      </c>
      <c r="K4" s="18" t="n">
        <v>10200</v>
      </c>
      <c r="L4" s="19" t="n">
        <f aca="false">E4-J4</f>
        <v>100</v>
      </c>
      <c r="M4" s="19" t="n">
        <f aca="false">E4-K4</f>
        <v>-1300</v>
      </c>
      <c r="N4" s="20" t="n">
        <v>0.1</v>
      </c>
      <c r="O4" s="18" t="n">
        <v>1800</v>
      </c>
      <c r="P4" s="20" t="n">
        <v>0.72</v>
      </c>
      <c r="Q4" s="21" t="n">
        <f aca="false">(E4*(1+P4)+O4)*D4</f>
        <v>136864</v>
      </c>
      <c r="R4" s="21" t="n">
        <f aca="false">Q4*12</f>
        <v>1642368</v>
      </c>
    </row>
    <row r="5" customFormat="false" ht="15" hidden="false" customHeight="false" outlineLevel="0" collapsed="false">
      <c r="A5" s="8" t="s">
        <v>59</v>
      </c>
      <c r="B5" s="9" t="s">
        <v>55</v>
      </c>
      <c r="C5" s="9" t="s">
        <v>56</v>
      </c>
      <c r="D5" s="10" t="n">
        <v>6</v>
      </c>
      <c r="E5" s="11" t="n">
        <v>7200</v>
      </c>
      <c r="F5" s="11" t="n">
        <v>8800</v>
      </c>
      <c r="G5" s="11" t="n">
        <v>5900</v>
      </c>
      <c r="H5" s="11" t="n">
        <v>7800</v>
      </c>
      <c r="I5" s="11" t="n">
        <v>6900</v>
      </c>
      <c r="J5" s="11" t="n">
        <v>7000</v>
      </c>
      <c r="K5" s="11" t="n">
        <v>8500</v>
      </c>
      <c r="L5" s="12" t="n">
        <f aca="false">E5-J5</f>
        <v>200</v>
      </c>
      <c r="M5" s="12" t="n">
        <f aca="false">E5-K5</f>
        <v>-1300</v>
      </c>
      <c r="N5" s="13" t="n">
        <v>0.08</v>
      </c>
      <c r="O5" s="11" t="n">
        <v>1600</v>
      </c>
      <c r="P5" s="13" t="n">
        <v>0.72</v>
      </c>
      <c r="Q5" s="14" t="n">
        <f aca="false">(E5*(1+P5)+O5)*D5</f>
        <v>83904</v>
      </c>
      <c r="R5" s="14" t="n">
        <f aca="false">Q5*12</f>
        <v>1006848</v>
      </c>
    </row>
    <row r="6" customFormat="false" ht="15" hidden="false" customHeight="false" outlineLevel="0" collapsed="false">
      <c r="A6" s="15" t="s">
        <v>60</v>
      </c>
      <c r="B6" s="16" t="s">
        <v>55</v>
      </c>
      <c r="C6" s="16" t="s">
        <v>58</v>
      </c>
      <c r="D6" s="17" t="n">
        <v>10</v>
      </c>
      <c r="E6" s="18" t="n">
        <v>5400</v>
      </c>
      <c r="F6" s="18" t="n">
        <v>6500</v>
      </c>
      <c r="G6" s="18" t="n">
        <v>4400</v>
      </c>
      <c r="H6" s="18" t="n">
        <v>5800</v>
      </c>
      <c r="I6" s="18" t="n">
        <v>5100</v>
      </c>
      <c r="J6" s="18" t="n">
        <v>5300</v>
      </c>
      <c r="K6" s="18" t="n">
        <v>6400</v>
      </c>
      <c r="L6" s="19" t="n">
        <f aca="false">E6-J6</f>
        <v>100</v>
      </c>
      <c r="M6" s="19" t="n">
        <f aca="false">E6-K6</f>
        <v>-1000</v>
      </c>
      <c r="N6" s="20" t="n">
        <v>0.06</v>
      </c>
      <c r="O6" s="18" t="n">
        <v>1400</v>
      </c>
      <c r="P6" s="20" t="n">
        <v>0.72</v>
      </c>
      <c r="Q6" s="21" t="n">
        <f aca="false">(E6*(1+P6)+O6)*D6</f>
        <v>106880</v>
      </c>
      <c r="R6" s="21" t="n">
        <f aca="false">Q6*12</f>
        <v>1282560</v>
      </c>
    </row>
    <row r="7" customFormat="false" ht="15" hidden="false" customHeight="false" outlineLevel="0" collapsed="false">
      <c r="A7" s="8" t="s">
        <v>61</v>
      </c>
      <c r="B7" s="9" t="s">
        <v>55</v>
      </c>
      <c r="C7" s="9" t="s">
        <v>62</v>
      </c>
      <c r="D7" s="10" t="n">
        <v>8</v>
      </c>
      <c r="E7" s="11" t="n">
        <v>3200</v>
      </c>
      <c r="F7" s="11" t="n">
        <v>3900</v>
      </c>
      <c r="G7" s="11" t="n">
        <v>2800</v>
      </c>
      <c r="H7" s="11" t="n">
        <v>3500</v>
      </c>
      <c r="I7" s="11" t="n">
        <v>3100</v>
      </c>
      <c r="J7" s="11" t="n">
        <v>3100</v>
      </c>
      <c r="K7" s="11" t="n">
        <v>3800</v>
      </c>
      <c r="L7" s="12" t="n">
        <f aca="false">E7-J7</f>
        <v>100</v>
      </c>
      <c r="M7" s="12" t="n">
        <f aca="false">E7-K7</f>
        <v>-600</v>
      </c>
      <c r="N7" s="13" t="n">
        <v>0</v>
      </c>
      <c r="O7" s="11" t="n">
        <v>1200</v>
      </c>
      <c r="P7" s="13" t="n">
        <v>0.72</v>
      </c>
      <c r="Q7" s="14" t="n">
        <f aca="false">(E7*(1+P7)+O7)*D7</f>
        <v>53632</v>
      </c>
      <c r="R7" s="14" t="n">
        <f aca="false">Q7*12</f>
        <v>643584</v>
      </c>
    </row>
    <row r="8" customFormat="false" ht="15" hidden="false" customHeight="false" outlineLevel="0" collapsed="false">
      <c r="A8" s="15" t="s">
        <v>63</v>
      </c>
      <c r="B8" s="16" t="s">
        <v>64</v>
      </c>
      <c r="C8" s="16" t="s">
        <v>56</v>
      </c>
      <c r="D8" s="17" t="n">
        <v>52</v>
      </c>
      <c r="E8" s="18" t="n">
        <v>8400</v>
      </c>
      <c r="F8" s="18" t="n">
        <v>11200</v>
      </c>
      <c r="G8" s="18" t="n">
        <v>6500</v>
      </c>
      <c r="H8" s="18" t="n">
        <v>7200</v>
      </c>
      <c r="I8" s="18" t="n">
        <v>7800</v>
      </c>
      <c r="J8" s="18" t="n">
        <v>8000</v>
      </c>
      <c r="K8" s="18" t="n">
        <v>10000</v>
      </c>
      <c r="L8" s="19" t="n">
        <f aca="false">E8-J8</f>
        <v>400</v>
      </c>
      <c r="M8" s="19" t="n">
        <f aca="false">E8-K8</f>
        <v>-1600</v>
      </c>
      <c r="N8" s="20" t="n">
        <v>0.05</v>
      </c>
      <c r="O8" s="18" t="n">
        <v>1800</v>
      </c>
      <c r="P8" s="20" t="n">
        <v>0.72</v>
      </c>
      <c r="Q8" s="21" t="n">
        <f aca="false">(E8*(1+P8)+O8)*D8</f>
        <v>844896</v>
      </c>
      <c r="R8" s="21" t="n">
        <f aca="false">Q8*12</f>
        <v>10138752</v>
      </c>
    </row>
    <row r="9" customFormat="false" ht="15" hidden="false" customHeight="false" outlineLevel="0" collapsed="false">
      <c r="A9" s="8" t="s">
        <v>65</v>
      </c>
      <c r="B9" s="9" t="s">
        <v>64</v>
      </c>
      <c r="C9" s="9" t="s">
        <v>58</v>
      </c>
      <c r="D9" s="10" t="n">
        <v>68</v>
      </c>
      <c r="E9" s="11" t="n">
        <v>6200</v>
      </c>
      <c r="F9" s="11" t="n">
        <v>8000</v>
      </c>
      <c r="G9" s="11" t="n">
        <v>4900</v>
      </c>
      <c r="H9" s="11" t="n">
        <v>5800</v>
      </c>
      <c r="I9" s="11" t="n">
        <v>5900</v>
      </c>
      <c r="J9" s="11" t="n">
        <v>5900</v>
      </c>
      <c r="K9" s="11" t="n">
        <v>7500</v>
      </c>
      <c r="L9" s="12" t="n">
        <f aca="false">E9-J9</f>
        <v>300</v>
      </c>
      <c r="M9" s="12" t="n">
        <f aca="false">E9-K9</f>
        <v>-1300</v>
      </c>
      <c r="N9" s="13" t="n">
        <v>0</v>
      </c>
      <c r="O9" s="11" t="n">
        <v>1600</v>
      </c>
      <c r="P9" s="13" t="n">
        <v>0.72</v>
      </c>
      <c r="Q9" s="14" t="n">
        <f aca="false">(E9*(1+P9)+O9)*D9</f>
        <v>833952</v>
      </c>
      <c r="R9" s="14" t="n">
        <f aca="false">Q9*12</f>
        <v>10007424</v>
      </c>
    </row>
    <row r="10" customFormat="false" ht="15" hidden="false" customHeight="false" outlineLevel="0" collapsed="false">
      <c r="A10" s="15" t="s">
        <v>66</v>
      </c>
      <c r="B10" s="16" t="s">
        <v>64</v>
      </c>
      <c r="C10" s="16" t="s">
        <v>67</v>
      </c>
      <c r="D10" s="17" t="n">
        <v>184</v>
      </c>
      <c r="E10" s="18" t="n">
        <v>3800</v>
      </c>
      <c r="F10" s="18" t="n">
        <v>4900</v>
      </c>
      <c r="G10" s="18" t="n">
        <v>3100</v>
      </c>
      <c r="H10" s="18" t="n">
        <v>3600</v>
      </c>
      <c r="I10" s="18" t="n">
        <v>3700</v>
      </c>
      <c r="J10" s="18" t="n">
        <v>3700</v>
      </c>
      <c r="K10" s="18" t="n">
        <v>4500</v>
      </c>
      <c r="L10" s="19" t="n">
        <f aca="false">E10-J10</f>
        <v>100</v>
      </c>
      <c r="M10" s="19" t="n">
        <f aca="false">E10-K10</f>
        <v>-700</v>
      </c>
      <c r="N10" s="20" t="n">
        <v>0</v>
      </c>
      <c r="O10" s="18" t="n">
        <v>1200</v>
      </c>
      <c r="P10" s="20" t="n">
        <v>0.72</v>
      </c>
      <c r="Q10" s="21" t="n">
        <f aca="false">(E10*(1+P10)+O10)*D10</f>
        <v>1423424</v>
      </c>
      <c r="R10" s="21" t="n">
        <f aca="false">Q10*12</f>
        <v>17081088</v>
      </c>
    </row>
    <row r="11" customFormat="false" ht="15" hidden="false" customHeight="false" outlineLevel="0" collapsed="false">
      <c r="A11" s="8" t="s">
        <v>68</v>
      </c>
      <c r="B11" s="9" t="s">
        <v>64</v>
      </c>
      <c r="C11" s="9" t="s">
        <v>69</v>
      </c>
      <c r="D11" s="10" t="n">
        <v>96</v>
      </c>
      <c r="E11" s="11" t="n">
        <v>2600</v>
      </c>
      <c r="F11" s="11" t="n">
        <v>3200</v>
      </c>
      <c r="G11" s="11" t="n">
        <v>2200</v>
      </c>
      <c r="H11" s="11" t="n">
        <v>2700</v>
      </c>
      <c r="I11" s="11" t="n">
        <v>2500</v>
      </c>
      <c r="J11" s="11" t="n">
        <v>2500</v>
      </c>
      <c r="K11" s="11" t="n">
        <v>3100</v>
      </c>
      <c r="L11" s="12" t="n">
        <f aca="false">E11-J11</f>
        <v>100</v>
      </c>
      <c r="M11" s="12" t="n">
        <f aca="false">E11-K11</f>
        <v>-500</v>
      </c>
      <c r="N11" s="13" t="n">
        <v>0</v>
      </c>
      <c r="O11" s="11" t="n">
        <v>1000</v>
      </c>
      <c r="P11" s="13" t="n">
        <v>0.72</v>
      </c>
      <c r="Q11" s="14" t="n">
        <f aca="false">(E11*(1+P11)+O11)*D11</f>
        <v>525312</v>
      </c>
      <c r="R11" s="14" t="n">
        <f aca="false">Q11*12</f>
        <v>6303744</v>
      </c>
    </row>
    <row r="12" customFormat="false" ht="15" hidden="false" customHeight="false" outlineLevel="0" collapsed="false">
      <c r="A12" s="15" t="s">
        <v>70</v>
      </c>
      <c r="B12" s="16" t="s">
        <v>64</v>
      </c>
      <c r="C12" s="16" t="s">
        <v>71</v>
      </c>
      <c r="D12" s="17" t="n">
        <v>38</v>
      </c>
      <c r="E12" s="18" t="n">
        <v>18500</v>
      </c>
      <c r="F12" s="18" t="n">
        <v>24000</v>
      </c>
      <c r="G12" s="18" t="n">
        <v>14000</v>
      </c>
      <c r="H12" s="18" t="n">
        <v>16000</v>
      </c>
      <c r="I12" s="18" t="n">
        <v>17500</v>
      </c>
      <c r="J12" s="18" t="n">
        <v>18000</v>
      </c>
      <c r="K12" s="18" t="n">
        <v>23000</v>
      </c>
      <c r="L12" s="19" t="n">
        <f aca="false">E12-J12</f>
        <v>500</v>
      </c>
      <c r="M12" s="19" t="n">
        <f aca="false">E12-K12</f>
        <v>-4500</v>
      </c>
      <c r="N12" s="20" t="n">
        <v>0.1</v>
      </c>
      <c r="O12" s="18" t="n">
        <v>2800</v>
      </c>
      <c r="P12" s="20" t="n">
        <v>0.72</v>
      </c>
      <c r="Q12" s="21" t="n">
        <f aca="false">(E12*(1+P12)+O12)*D12</f>
        <v>1315560</v>
      </c>
      <c r="R12" s="21" t="n">
        <f aca="false">Q12*12</f>
        <v>15786720</v>
      </c>
    </row>
    <row r="13" customFormat="false" ht="15" hidden="false" customHeight="false" outlineLevel="0" collapsed="false">
      <c r="A13" s="8" t="s">
        <v>72</v>
      </c>
      <c r="B13" s="9" t="s">
        <v>64</v>
      </c>
      <c r="C13" s="9" t="s">
        <v>73</v>
      </c>
      <c r="D13" s="10" t="n">
        <v>6</v>
      </c>
      <c r="E13" s="11" t="n">
        <v>22000</v>
      </c>
      <c r="F13" s="11" t="n">
        <v>28000</v>
      </c>
      <c r="G13" s="11" t="n">
        <v>17000</v>
      </c>
      <c r="H13" s="11" t="n">
        <v>20000</v>
      </c>
      <c r="I13" s="11" t="n">
        <v>21000</v>
      </c>
      <c r="J13" s="11" t="n">
        <v>21000</v>
      </c>
      <c r="K13" s="11" t="n">
        <v>27000</v>
      </c>
      <c r="L13" s="12" t="n">
        <f aca="false">E13-J13</f>
        <v>1000</v>
      </c>
      <c r="M13" s="12" t="n">
        <f aca="false">E13-K13</f>
        <v>-5000</v>
      </c>
      <c r="N13" s="13" t="n">
        <v>0.15</v>
      </c>
      <c r="O13" s="11" t="n">
        <v>3200</v>
      </c>
      <c r="P13" s="13" t="n">
        <v>0.72</v>
      </c>
      <c r="Q13" s="14" t="n">
        <f aca="false">(E13*(1+P13)+O13)*D13</f>
        <v>246240</v>
      </c>
      <c r="R13" s="14" t="n">
        <f aca="false">Q13*12</f>
        <v>2954880</v>
      </c>
    </row>
    <row r="14" customFormat="false" ht="15" hidden="false" customHeight="false" outlineLevel="0" collapsed="false">
      <c r="A14" s="15" t="s">
        <v>74</v>
      </c>
      <c r="B14" s="16" t="s">
        <v>73</v>
      </c>
      <c r="C14" s="16" t="s">
        <v>73</v>
      </c>
      <c r="D14" s="17" t="n">
        <v>3</v>
      </c>
      <c r="E14" s="18" t="n">
        <v>16500</v>
      </c>
      <c r="F14" s="18" t="n">
        <v>22000</v>
      </c>
      <c r="G14" s="18" t="n">
        <v>12000</v>
      </c>
      <c r="H14" s="18" t="n">
        <v>15000</v>
      </c>
      <c r="I14" s="18" t="n">
        <v>15500</v>
      </c>
      <c r="J14" s="18" t="n">
        <v>16000</v>
      </c>
      <c r="K14" s="18" t="n">
        <v>21000</v>
      </c>
      <c r="L14" s="19" t="n">
        <f aca="false">E14-J14</f>
        <v>500</v>
      </c>
      <c r="M14" s="19" t="n">
        <f aca="false">E14-K14</f>
        <v>-4500</v>
      </c>
      <c r="N14" s="20" t="n">
        <v>0.2</v>
      </c>
      <c r="O14" s="18" t="n">
        <v>3000</v>
      </c>
      <c r="P14" s="20" t="n">
        <v>0.72</v>
      </c>
      <c r="Q14" s="21" t="n">
        <f aca="false">(E14*(1+P14)+O14)*D14</f>
        <v>94140</v>
      </c>
      <c r="R14" s="21" t="n">
        <f aca="false">Q14*12</f>
        <v>1129680</v>
      </c>
    </row>
    <row r="15" customFormat="false" ht="15" hidden="false" customHeight="false" outlineLevel="0" collapsed="false">
      <c r="A15" s="8" t="s">
        <v>75</v>
      </c>
      <c r="B15" s="9" t="s">
        <v>73</v>
      </c>
      <c r="C15" s="9" t="s">
        <v>76</v>
      </c>
      <c r="D15" s="10" t="n">
        <v>12</v>
      </c>
      <c r="E15" s="11" t="n">
        <v>7800</v>
      </c>
      <c r="F15" s="11" t="n">
        <v>9500</v>
      </c>
      <c r="G15" s="11" t="n">
        <v>5900</v>
      </c>
      <c r="H15" s="11" t="n">
        <v>7200</v>
      </c>
      <c r="I15" s="11" t="n">
        <v>7300</v>
      </c>
      <c r="J15" s="11" t="n">
        <v>7500</v>
      </c>
      <c r="K15" s="11" t="n">
        <v>9000</v>
      </c>
      <c r="L15" s="12" t="n">
        <f aca="false">E15-J15</f>
        <v>300</v>
      </c>
      <c r="M15" s="12" t="n">
        <f aca="false">E15-K15</f>
        <v>-1200</v>
      </c>
      <c r="N15" s="13" t="n">
        <v>0.08</v>
      </c>
      <c r="O15" s="11" t="n">
        <v>1700</v>
      </c>
      <c r="P15" s="13" t="n">
        <v>0.72</v>
      </c>
      <c r="Q15" s="14" t="n">
        <f aca="false">(E15*(1+P15)+O15)*D15</f>
        <v>181392</v>
      </c>
      <c r="R15" s="14" t="n">
        <f aca="false">Q15*12</f>
        <v>2176704</v>
      </c>
    </row>
    <row r="16" customFormat="false" ht="15" hidden="false" customHeight="false" outlineLevel="0" collapsed="false">
      <c r="A16" s="15" t="s">
        <v>77</v>
      </c>
      <c r="B16" s="16" t="s">
        <v>78</v>
      </c>
      <c r="C16" s="16" t="s">
        <v>69</v>
      </c>
      <c r="D16" s="17" t="n">
        <v>28</v>
      </c>
      <c r="E16" s="18" t="n">
        <v>2400</v>
      </c>
      <c r="F16" s="18" t="n">
        <v>2900</v>
      </c>
      <c r="G16" s="18" t="n">
        <v>2000</v>
      </c>
      <c r="H16" s="18" t="n">
        <v>2500</v>
      </c>
      <c r="I16" s="18" t="n">
        <v>2300</v>
      </c>
      <c r="J16" s="18" t="n">
        <v>2300</v>
      </c>
      <c r="K16" s="18" t="n">
        <v>2800</v>
      </c>
      <c r="L16" s="19" t="n">
        <f aca="false">E16-J16</f>
        <v>100</v>
      </c>
      <c r="M16" s="19" t="n">
        <f aca="false">E16-K16</f>
        <v>-400</v>
      </c>
      <c r="N16" s="20" t="n">
        <v>0</v>
      </c>
      <c r="O16" s="18" t="n">
        <v>900</v>
      </c>
      <c r="P16" s="20" t="n">
        <v>0.72</v>
      </c>
      <c r="Q16" s="21" t="n">
        <f aca="false">(E16*(1+P16)+O16)*D16</f>
        <v>140784</v>
      </c>
      <c r="R16" s="21" t="n">
        <f aca="false">Q16*12</f>
        <v>1689408</v>
      </c>
    </row>
    <row r="17" customFormat="false" ht="15" hidden="false" customHeight="false" outlineLevel="0" collapsed="false">
      <c r="A17" s="8" t="s">
        <v>79</v>
      </c>
      <c r="B17" s="9" t="s">
        <v>78</v>
      </c>
      <c r="C17" s="9" t="s">
        <v>58</v>
      </c>
      <c r="D17" s="10" t="n">
        <v>6</v>
      </c>
      <c r="E17" s="11" t="n">
        <v>6800</v>
      </c>
      <c r="F17" s="11" t="n">
        <v>8200</v>
      </c>
      <c r="G17" s="11" t="n">
        <v>5400</v>
      </c>
      <c r="H17" s="11" t="n">
        <v>7000</v>
      </c>
      <c r="I17" s="11" t="n">
        <v>6500</v>
      </c>
      <c r="J17" s="11" t="n">
        <v>6600</v>
      </c>
      <c r="K17" s="11" t="n">
        <v>8000</v>
      </c>
      <c r="L17" s="12" t="n">
        <f aca="false">E17-J17</f>
        <v>200</v>
      </c>
      <c r="M17" s="12" t="n">
        <f aca="false">E17-K17</f>
        <v>-1200</v>
      </c>
      <c r="N17" s="13" t="n">
        <v>0.08</v>
      </c>
      <c r="O17" s="11" t="n">
        <v>1500</v>
      </c>
      <c r="P17" s="13" t="n">
        <v>0.72</v>
      </c>
      <c r="Q17" s="14" t="n">
        <f aca="false">(E17*(1+P17)+O17)*D17</f>
        <v>79176</v>
      </c>
      <c r="R17" s="14" t="n">
        <f aca="false">Q17*12</f>
        <v>950112</v>
      </c>
    </row>
    <row r="18" customFormat="false" ht="15" hidden="false" customHeight="false" outlineLevel="0" collapsed="false">
      <c r="A18" s="15" t="s">
        <v>80</v>
      </c>
      <c r="B18" s="16" t="s">
        <v>64</v>
      </c>
      <c r="C18" s="16" t="s">
        <v>71</v>
      </c>
      <c r="D18" s="17" t="n">
        <v>8</v>
      </c>
      <c r="E18" s="18" t="n">
        <v>4800</v>
      </c>
      <c r="F18" s="18" t="n">
        <v>6200</v>
      </c>
      <c r="G18" s="18" t="n">
        <v>3800</v>
      </c>
      <c r="H18" s="18" t="n">
        <v>4500</v>
      </c>
      <c r="I18" s="18" t="n">
        <v>4600</v>
      </c>
      <c r="J18" s="18" t="n">
        <v>4700</v>
      </c>
      <c r="K18" s="18" t="n">
        <v>5900</v>
      </c>
      <c r="L18" s="19" t="n">
        <f aca="false">E18-J18</f>
        <v>100</v>
      </c>
      <c r="M18" s="19" t="n">
        <f aca="false">E18-K18</f>
        <v>-1100</v>
      </c>
      <c r="N18" s="20" t="n">
        <v>0</v>
      </c>
      <c r="O18" s="18" t="n">
        <v>1300</v>
      </c>
      <c r="P18" s="20" t="n">
        <v>0.72</v>
      </c>
      <c r="Q18" s="21" t="n">
        <f aca="false">(E18*(1+P18)+O18)*D18</f>
        <v>76448</v>
      </c>
      <c r="R18" s="21" t="n">
        <f aca="false">Q18*12</f>
        <v>917376</v>
      </c>
    </row>
    <row r="19" customFormat="false" ht="15" hidden="false" customHeight="false" outlineLevel="0" collapsed="false">
      <c r="A19" s="8" t="s">
        <v>81</v>
      </c>
      <c r="B19" s="9" t="s">
        <v>64</v>
      </c>
      <c r="C19" s="9" t="s">
        <v>71</v>
      </c>
      <c r="D19" s="10" t="n">
        <v>5</v>
      </c>
      <c r="E19" s="11" t="n">
        <v>4200</v>
      </c>
      <c r="F19" s="11" t="n">
        <v>5500</v>
      </c>
      <c r="G19" s="11" t="n">
        <v>3400</v>
      </c>
      <c r="H19" s="11" t="n">
        <v>4000</v>
      </c>
      <c r="I19" s="11" t="n">
        <v>4100</v>
      </c>
      <c r="J19" s="11" t="n">
        <v>4100</v>
      </c>
      <c r="K19" s="11" t="n">
        <v>5200</v>
      </c>
      <c r="L19" s="12" t="n">
        <f aca="false">E19-J19</f>
        <v>100</v>
      </c>
      <c r="M19" s="12" t="n">
        <f aca="false">E19-K19</f>
        <v>-1000</v>
      </c>
      <c r="N19" s="13" t="n">
        <v>0</v>
      </c>
      <c r="O19" s="11" t="n">
        <v>1200</v>
      </c>
      <c r="P19" s="13" t="n">
        <v>0.72</v>
      </c>
      <c r="Q19" s="14" t="n">
        <f aca="false">(E19*(1+P19)+O19)*D19</f>
        <v>42120</v>
      </c>
      <c r="R19" s="14" t="n">
        <f aca="false">Q19*12</f>
        <v>505440</v>
      </c>
    </row>
    <row r="20" customFormat="false" ht="15" hidden="false" customHeight="false" outlineLevel="0" collapsed="false">
      <c r="A20" s="15" t="s">
        <v>82</v>
      </c>
      <c r="B20" s="16" t="s">
        <v>64</v>
      </c>
      <c r="C20" s="16" t="s">
        <v>71</v>
      </c>
      <c r="D20" s="17" t="n">
        <v>7</v>
      </c>
      <c r="E20" s="18" t="n">
        <v>6400</v>
      </c>
      <c r="F20" s="18" t="n">
        <v>8000</v>
      </c>
      <c r="G20" s="18" t="n">
        <v>5100</v>
      </c>
      <c r="H20" s="18" t="n">
        <v>6000</v>
      </c>
      <c r="I20" s="18" t="n">
        <v>6200</v>
      </c>
      <c r="J20" s="18" t="n">
        <v>6200</v>
      </c>
      <c r="K20" s="18" t="n">
        <v>7700</v>
      </c>
      <c r="L20" s="19" t="n">
        <f aca="false">E20-J20</f>
        <v>200</v>
      </c>
      <c r="M20" s="19" t="n">
        <f aca="false">E20-K20</f>
        <v>-1300</v>
      </c>
      <c r="N20" s="20" t="n">
        <v>0.05</v>
      </c>
      <c r="O20" s="18" t="n">
        <v>1500</v>
      </c>
      <c r="P20" s="20" t="n">
        <v>0.72</v>
      </c>
      <c r="Q20" s="21" t="n">
        <f aca="false">(E20*(1+P20)+O20)*D20</f>
        <v>87556</v>
      </c>
      <c r="R20" s="21" t="n">
        <f aca="false">Q20*12</f>
        <v>1050672</v>
      </c>
    </row>
    <row r="21" customFormat="false" ht="15" hidden="false" customHeight="false" outlineLevel="0" collapsed="false">
      <c r="A21" s="22" t="s">
        <v>83</v>
      </c>
      <c r="B21" s="23"/>
      <c r="C21" s="23"/>
      <c r="D21" s="24" t="n">
        <f aca="false">SUM(D3:D20)</f>
        <v>549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5" t="n">
        <f aca="false">SUM(Q3:Q20)</f>
        <v>6369144</v>
      </c>
      <c r="R21" s="25" t="n">
        <f aca="false">SUM(R3:R20)</f>
        <v>76429728</v>
      </c>
    </row>
  </sheetData>
  <mergeCells count="1"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6" t="s">
        <v>84</v>
      </c>
      <c r="B1" s="6" t="s">
        <v>85</v>
      </c>
      <c r="C1" s="6" t="s">
        <v>86</v>
      </c>
      <c r="D1" s="6" t="s">
        <v>38</v>
      </c>
      <c r="E1" s="6" t="s">
        <v>87</v>
      </c>
      <c r="F1" s="6" t="s">
        <v>88</v>
      </c>
      <c r="G1" s="6" t="s">
        <v>89</v>
      </c>
      <c r="H1" s="6" t="s">
        <v>90</v>
      </c>
    </row>
    <row r="2" customFormat="false" ht="15" hidden="false" customHeight="false" outlineLevel="0" collapsed="false">
      <c r="A2" s="26" t="s">
        <v>91</v>
      </c>
      <c r="B2" s="27" t="n">
        <v>9</v>
      </c>
      <c r="C2" s="27" t="n">
        <v>7</v>
      </c>
      <c r="D2" s="17" t="n">
        <v>512</v>
      </c>
      <c r="E2" s="28" t="n">
        <v>0.0156</v>
      </c>
      <c r="F2" s="29" t="n">
        <v>0.042</v>
      </c>
      <c r="G2" s="30" t="n">
        <f aca="false">B2-C2</f>
        <v>2</v>
      </c>
      <c r="H2" s="19" t="n">
        <f aca="false">C2*8500</f>
        <v>59500</v>
      </c>
    </row>
    <row r="3" customFormat="false" ht="15" hidden="false" customHeight="false" outlineLevel="0" collapsed="false">
      <c r="A3" s="31" t="s">
        <v>92</v>
      </c>
      <c r="B3" s="32" t="n">
        <v>7</v>
      </c>
      <c r="C3" s="32" t="n">
        <v>6</v>
      </c>
      <c r="D3" s="10" t="n">
        <v>514</v>
      </c>
      <c r="E3" s="33" t="n">
        <v>0.0127</v>
      </c>
      <c r="F3" s="34" t="n">
        <v>0.04</v>
      </c>
      <c r="G3" s="35" t="n">
        <f aca="false">B3-C3</f>
        <v>1</v>
      </c>
      <c r="H3" s="12" t="n">
        <f aca="false">C3*8500</f>
        <v>51000</v>
      </c>
    </row>
    <row r="4" customFormat="false" ht="15" hidden="false" customHeight="false" outlineLevel="0" collapsed="false">
      <c r="A4" s="26" t="s">
        <v>93</v>
      </c>
      <c r="B4" s="27" t="n">
        <v>6</v>
      </c>
      <c r="C4" s="27" t="n">
        <v>10</v>
      </c>
      <c r="D4" s="17" t="n">
        <v>515</v>
      </c>
      <c r="E4" s="28" t="n">
        <v>0.0156</v>
      </c>
      <c r="F4" s="29" t="n">
        <v>0.045</v>
      </c>
      <c r="G4" s="30" t="n">
        <f aca="false">B4-C4</f>
        <v>-4</v>
      </c>
      <c r="H4" s="19" t="n">
        <f aca="false">C4*8500</f>
        <v>85000</v>
      </c>
    </row>
    <row r="5" customFormat="false" ht="15" hidden="false" customHeight="false" outlineLevel="0" collapsed="false">
      <c r="A5" s="31" t="s">
        <v>94</v>
      </c>
      <c r="B5" s="32" t="n">
        <v>8</v>
      </c>
      <c r="C5" s="32" t="n">
        <v>7</v>
      </c>
      <c r="D5" s="10" t="n">
        <v>511</v>
      </c>
      <c r="E5" s="33" t="n">
        <v>0.0146</v>
      </c>
      <c r="F5" s="34" t="n">
        <v>0.043</v>
      </c>
      <c r="G5" s="35" t="n">
        <f aca="false">B5-C5</f>
        <v>1</v>
      </c>
      <c r="H5" s="12" t="n">
        <f aca="false">C5*8500</f>
        <v>59500</v>
      </c>
    </row>
    <row r="6" customFormat="false" ht="15" hidden="false" customHeight="false" outlineLevel="0" collapsed="false">
      <c r="A6" s="26" t="s">
        <v>95</v>
      </c>
      <c r="B6" s="27" t="n">
        <v>8</v>
      </c>
      <c r="C6" s="27" t="n">
        <v>7</v>
      </c>
      <c r="D6" s="17" t="n">
        <v>512</v>
      </c>
      <c r="E6" s="28" t="n">
        <v>0.0146</v>
      </c>
      <c r="F6" s="29" t="n">
        <v>0.046</v>
      </c>
      <c r="G6" s="30" t="n">
        <f aca="false">B6-C6</f>
        <v>1</v>
      </c>
      <c r="H6" s="19" t="n">
        <f aca="false">C6*8500</f>
        <v>59500</v>
      </c>
    </row>
    <row r="7" customFormat="false" ht="15" hidden="false" customHeight="false" outlineLevel="0" collapsed="false">
      <c r="A7" s="31" t="s">
        <v>96</v>
      </c>
      <c r="B7" s="32" t="n">
        <v>7</v>
      </c>
      <c r="C7" s="32" t="n">
        <v>8</v>
      </c>
      <c r="D7" s="10" t="n">
        <v>513</v>
      </c>
      <c r="E7" s="33" t="n">
        <v>0.0146</v>
      </c>
      <c r="F7" s="34" t="n">
        <v>0.052</v>
      </c>
      <c r="G7" s="35" t="n">
        <f aca="false">B7-C7</f>
        <v>-1</v>
      </c>
      <c r="H7" s="12" t="n">
        <f aca="false">C7*8500</f>
        <v>68000</v>
      </c>
    </row>
    <row r="8" customFormat="false" ht="15" hidden="false" customHeight="false" outlineLevel="0" collapsed="false">
      <c r="A8" s="26" t="s">
        <v>97</v>
      </c>
      <c r="B8" s="27" t="n">
        <v>5</v>
      </c>
      <c r="C8" s="27" t="n">
        <v>11</v>
      </c>
      <c r="D8" s="17" t="n">
        <v>512</v>
      </c>
      <c r="E8" s="28" t="n">
        <v>0.0156</v>
      </c>
      <c r="F8" s="29" t="n">
        <v>0.055</v>
      </c>
      <c r="G8" s="30" t="n">
        <f aca="false">B8-C8</f>
        <v>-6</v>
      </c>
      <c r="H8" s="19" t="n">
        <f aca="false">C8*8500</f>
        <v>93500</v>
      </c>
    </row>
    <row r="9" customFormat="false" ht="15" hidden="false" customHeight="false" outlineLevel="0" collapsed="false">
      <c r="A9" s="31" t="s">
        <v>98</v>
      </c>
      <c r="B9" s="32" t="n">
        <v>8</v>
      </c>
      <c r="C9" s="32" t="n">
        <v>7</v>
      </c>
      <c r="D9" s="10" t="n">
        <v>506</v>
      </c>
      <c r="E9" s="33" t="n">
        <v>0.0146</v>
      </c>
      <c r="F9" s="34" t="n">
        <v>0.048</v>
      </c>
      <c r="G9" s="35" t="n">
        <f aca="false">B9-C9</f>
        <v>1</v>
      </c>
      <c r="H9" s="12" t="n">
        <f aca="false">C9*8500</f>
        <v>59500</v>
      </c>
    </row>
    <row r="10" customFormat="false" ht="15" hidden="false" customHeight="false" outlineLevel="0" collapsed="false">
      <c r="A10" s="26" t="s">
        <v>99</v>
      </c>
      <c r="B10" s="27" t="n">
        <v>9</v>
      </c>
      <c r="C10" s="27" t="n">
        <v>6</v>
      </c>
      <c r="D10" s="17" t="n">
        <v>507</v>
      </c>
      <c r="E10" s="28" t="n">
        <v>0.0146</v>
      </c>
      <c r="F10" s="29" t="n">
        <v>0.044</v>
      </c>
      <c r="G10" s="30" t="n">
        <f aca="false">B10-C10</f>
        <v>3</v>
      </c>
      <c r="H10" s="19" t="n">
        <f aca="false">C10*8500</f>
        <v>51000</v>
      </c>
    </row>
    <row r="11" customFormat="false" ht="15" hidden="false" customHeight="false" outlineLevel="0" collapsed="false">
      <c r="A11" s="31" t="s">
        <v>100</v>
      </c>
      <c r="B11" s="32" t="n">
        <v>6</v>
      </c>
      <c r="C11" s="32" t="n">
        <v>10</v>
      </c>
      <c r="D11" s="10" t="n">
        <v>510</v>
      </c>
      <c r="E11" s="33" t="n">
        <v>0.0156</v>
      </c>
      <c r="F11" s="34" t="n">
        <v>0.047</v>
      </c>
      <c r="G11" s="35" t="n">
        <f aca="false">B11-C11</f>
        <v>-4</v>
      </c>
      <c r="H11" s="12" t="n">
        <f aca="false">C11*8500</f>
        <v>85000</v>
      </c>
    </row>
    <row r="12" customFormat="false" ht="15" hidden="false" customHeight="false" outlineLevel="0" collapsed="false">
      <c r="A12" s="26" t="s">
        <v>101</v>
      </c>
      <c r="B12" s="27" t="n">
        <v>8</v>
      </c>
      <c r="C12" s="27" t="n">
        <v>7</v>
      </c>
      <c r="D12" s="17" t="n">
        <v>506</v>
      </c>
      <c r="E12" s="28" t="n">
        <v>0.0146</v>
      </c>
      <c r="F12" s="29" t="n">
        <v>0.049</v>
      </c>
      <c r="G12" s="30" t="n">
        <f aca="false">B12-C12</f>
        <v>1</v>
      </c>
      <c r="H12" s="19" t="n">
        <f aca="false">C12*8500</f>
        <v>59500</v>
      </c>
    </row>
    <row r="13" customFormat="false" ht="15" hidden="false" customHeight="false" outlineLevel="0" collapsed="false">
      <c r="A13" s="31" t="s">
        <v>102</v>
      </c>
      <c r="B13" s="32" t="n">
        <v>9</v>
      </c>
      <c r="C13" s="32" t="n">
        <v>6</v>
      </c>
      <c r="D13" s="10" t="n">
        <v>507</v>
      </c>
      <c r="E13" s="33" t="n">
        <v>0.0146</v>
      </c>
      <c r="F13" s="34" t="n">
        <v>0.053</v>
      </c>
      <c r="G13" s="35" t="n">
        <f aca="false">B13-C13</f>
        <v>3</v>
      </c>
      <c r="H13" s="12" t="n">
        <f aca="false">C13*8500</f>
        <v>51000</v>
      </c>
    </row>
    <row r="14" customFormat="false" ht="23.85" hidden="false" customHeight="false" outlineLevel="0" collapsed="false">
      <c r="A14" s="22" t="s">
        <v>103</v>
      </c>
      <c r="B14" s="24" t="n">
        <f aca="false">SUM(B2:B13)</f>
        <v>90</v>
      </c>
      <c r="C14" s="24" t="n">
        <f aca="false">SUM(C2:C13)</f>
        <v>92</v>
      </c>
      <c r="D14" s="23"/>
      <c r="E14" s="23"/>
      <c r="F14" s="23"/>
      <c r="G14" s="23"/>
      <c r="H14" s="25" t="n">
        <f aca="false">SUM(H2:H13)</f>
        <v>782000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5" hidden="false" customHeight="true" outlineLevel="0" collapsed="false">
      <c r="A1" s="36" t="s">
        <v>104</v>
      </c>
      <c r="B1" s="36"/>
      <c r="C1" s="36"/>
      <c r="D1" s="36"/>
      <c r="E1" s="36"/>
      <c r="F1" s="36"/>
    </row>
    <row r="2" customFormat="false" ht="15" hidden="false" customHeight="false" outlineLevel="0" collapsed="false">
      <c r="A2" s="6" t="s">
        <v>105</v>
      </c>
      <c r="B2" s="6" t="s">
        <v>106</v>
      </c>
      <c r="C2" s="6" t="s">
        <v>107</v>
      </c>
      <c r="D2" s="6" t="s">
        <v>108</v>
      </c>
      <c r="E2" s="6" t="s">
        <v>109</v>
      </c>
      <c r="F2" s="6" t="s">
        <v>110</v>
      </c>
    </row>
    <row r="3" customFormat="false" ht="15" hidden="false" customHeight="false" outlineLevel="0" collapsed="false">
      <c r="A3" s="8" t="s">
        <v>111</v>
      </c>
      <c r="B3" s="37" t="s">
        <v>112</v>
      </c>
      <c r="C3" s="37" t="s">
        <v>113</v>
      </c>
      <c r="D3" s="10" t="n">
        <v>113</v>
      </c>
      <c r="E3" s="38" t="n">
        <v>0.22</v>
      </c>
      <c r="F3" s="9" t="s">
        <v>114</v>
      </c>
    </row>
    <row r="4" customFormat="false" ht="15" hidden="false" customHeight="false" outlineLevel="0" collapsed="false">
      <c r="A4" s="15" t="s">
        <v>115</v>
      </c>
      <c r="B4" s="39" t="s">
        <v>112</v>
      </c>
      <c r="C4" s="39" t="s">
        <v>116</v>
      </c>
      <c r="D4" s="17" t="n">
        <v>82</v>
      </c>
      <c r="E4" s="40" t="n">
        <v>0.16</v>
      </c>
      <c r="F4" s="16" t="s">
        <v>117</v>
      </c>
    </row>
    <row r="5" customFormat="false" ht="15" hidden="false" customHeight="false" outlineLevel="0" collapsed="false">
      <c r="A5" s="8" t="s">
        <v>118</v>
      </c>
      <c r="B5" s="37" t="s">
        <v>119</v>
      </c>
      <c r="C5" s="37" t="s">
        <v>113</v>
      </c>
      <c r="D5" s="10" t="n">
        <v>118</v>
      </c>
      <c r="E5" s="38" t="n">
        <v>0.23</v>
      </c>
      <c r="F5" s="9" t="s">
        <v>120</v>
      </c>
    </row>
    <row r="6" customFormat="false" ht="15" hidden="false" customHeight="false" outlineLevel="0" collapsed="false">
      <c r="A6" s="15" t="s">
        <v>121</v>
      </c>
      <c r="B6" s="39" t="s">
        <v>119</v>
      </c>
      <c r="C6" s="39" t="s">
        <v>122</v>
      </c>
      <c r="D6" s="17" t="n">
        <v>72</v>
      </c>
      <c r="E6" s="40" t="n">
        <v>0.14</v>
      </c>
      <c r="F6" s="16" t="s">
        <v>123</v>
      </c>
    </row>
    <row r="7" customFormat="false" ht="15" hidden="false" customHeight="false" outlineLevel="0" collapsed="false">
      <c r="A7" s="8" t="s">
        <v>124</v>
      </c>
      <c r="B7" s="37" t="s">
        <v>112</v>
      </c>
      <c r="C7" s="37" t="s">
        <v>125</v>
      </c>
      <c r="D7" s="10" t="n">
        <v>41</v>
      </c>
      <c r="E7" s="38" t="n">
        <v>0.08</v>
      </c>
      <c r="F7" s="9" t="s">
        <v>126</v>
      </c>
    </row>
    <row r="8" customFormat="false" ht="15" hidden="false" customHeight="false" outlineLevel="0" collapsed="false">
      <c r="A8" s="15" t="s">
        <v>127</v>
      </c>
      <c r="B8" s="39" t="s">
        <v>128</v>
      </c>
      <c r="C8" s="39" t="s">
        <v>113</v>
      </c>
      <c r="D8" s="17" t="n">
        <v>26</v>
      </c>
      <c r="E8" s="40" t="n">
        <v>0.05</v>
      </c>
      <c r="F8" s="16" t="s">
        <v>129</v>
      </c>
    </row>
    <row r="9" customFormat="false" ht="15" hidden="false" customHeight="false" outlineLevel="0" collapsed="false">
      <c r="A9" s="8" t="s">
        <v>130</v>
      </c>
      <c r="B9" s="37" t="s">
        <v>128</v>
      </c>
      <c r="C9" s="37" t="s">
        <v>125</v>
      </c>
      <c r="D9" s="10" t="n">
        <v>31</v>
      </c>
      <c r="E9" s="38" t="n">
        <v>0.06</v>
      </c>
      <c r="F9" s="9" t="s">
        <v>131</v>
      </c>
    </row>
    <row r="10" customFormat="false" ht="15" hidden="false" customHeight="false" outlineLevel="0" collapsed="false">
      <c r="A10" s="15" t="s">
        <v>132</v>
      </c>
      <c r="B10" s="39" t="s">
        <v>128</v>
      </c>
      <c r="C10" s="39" t="s">
        <v>122</v>
      </c>
      <c r="D10" s="17" t="n">
        <v>21</v>
      </c>
      <c r="E10" s="40" t="n">
        <v>0.04</v>
      </c>
      <c r="F10" s="16" t="s">
        <v>133</v>
      </c>
    </row>
    <row r="11" customFormat="false" ht="15" hidden="false" customHeight="false" outlineLevel="0" collapsed="false">
      <c r="A11" s="8" t="s">
        <v>134</v>
      </c>
      <c r="B11" s="37" t="s">
        <v>119</v>
      </c>
      <c r="C11" s="37" t="s">
        <v>125</v>
      </c>
      <c r="D11" s="10" t="n">
        <v>8</v>
      </c>
      <c r="E11" s="38" t="n">
        <v>0.02</v>
      </c>
      <c r="F11" s="9" t="s">
        <v>135</v>
      </c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</row>
    <row r="14" customFormat="false" ht="15" hidden="false" customHeight="true" outlineLevel="0" collapsed="false">
      <c r="A14" s="41" t="s">
        <v>136</v>
      </c>
      <c r="B14" s="41"/>
      <c r="C14" s="41"/>
      <c r="D14" s="41"/>
      <c r="E14" s="41"/>
    </row>
    <row r="15" customFormat="false" ht="15" hidden="false" customHeight="false" outlineLevel="0" collapsed="false">
      <c r="A15" s="6" t="s">
        <v>137</v>
      </c>
      <c r="B15" s="6" t="s">
        <v>138</v>
      </c>
      <c r="C15" s="6" t="s">
        <v>139</v>
      </c>
      <c r="D15" s="6" t="s">
        <v>140</v>
      </c>
      <c r="E15" s="6" t="s">
        <v>141</v>
      </c>
    </row>
    <row r="16" customFormat="false" ht="15" hidden="false" customHeight="false" outlineLevel="0" collapsed="false">
      <c r="A16" s="15" t="s">
        <v>76</v>
      </c>
      <c r="B16" s="17" t="n">
        <v>82</v>
      </c>
      <c r="C16" s="17" t="n">
        <v>72</v>
      </c>
      <c r="D16" s="42" t="n">
        <f aca="false">B16-C16</f>
        <v>10</v>
      </c>
      <c r="E16" s="39" t="s">
        <v>142</v>
      </c>
    </row>
    <row r="17" customFormat="false" ht="15" hidden="false" customHeight="false" outlineLevel="0" collapsed="false">
      <c r="A17" s="8" t="s">
        <v>143</v>
      </c>
      <c r="B17" s="10" t="n">
        <v>78</v>
      </c>
      <c r="C17" s="10" t="n">
        <v>70</v>
      </c>
      <c r="D17" s="43" t="n">
        <f aca="false">B17-C17</f>
        <v>8</v>
      </c>
      <c r="E17" s="37" t="s">
        <v>142</v>
      </c>
    </row>
    <row r="18" customFormat="false" ht="15" hidden="false" customHeight="false" outlineLevel="0" collapsed="false">
      <c r="A18" s="15" t="s">
        <v>144</v>
      </c>
      <c r="B18" s="17" t="n">
        <v>75</v>
      </c>
      <c r="C18" s="17" t="n">
        <v>68</v>
      </c>
      <c r="D18" s="42" t="n">
        <f aca="false">B18-C18</f>
        <v>7</v>
      </c>
      <c r="E18" s="39" t="s">
        <v>142</v>
      </c>
    </row>
    <row r="19" customFormat="false" ht="15" hidden="false" customHeight="false" outlineLevel="0" collapsed="false">
      <c r="A19" s="8" t="s">
        <v>145</v>
      </c>
      <c r="B19" s="10" t="n">
        <v>71</v>
      </c>
      <c r="C19" s="10" t="n">
        <v>65</v>
      </c>
      <c r="D19" s="43" t="n">
        <f aca="false">B19-C19</f>
        <v>6</v>
      </c>
      <c r="E19" s="37" t="s">
        <v>142</v>
      </c>
    </row>
    <row r="20" customFormat="false" ht="15" hidden="false" customHeight="false" outlineLevel="0" collapsed="false">
      <c r="A20" s="15" t="s">
        <v>146</v>
      </c>
      <c r="B20" s="17" t="n">
        <v>68</v>
      </c>
      <c r="C20" s="17" t="n">
        <v>63</v>
      </c>
      <c r="D20" s="42" t="n">
        <f aca="false">B20-C20</f>
        <v>5</v>
      </c>
      <c r="E20" s="39" t="s">
        <v>142</v>
      </c>
    </row>
    <row r="21" customFormat="false" ht="15" hidden="false" customHeight="false" outlineLevel="0" collapsed="false">
      <c r="A21" s="8" t="s">
        <v>147</v>
      </c>
      <c r="B21" s="10" t="n">
        <v>74</v>
      </c>
      <c r="C21" s="10" t="n">
        <v>67</v>
      </c>
      <c r="D21" s="43" t="n">
        <f aca="false">B21-C21</f>
        <v>7</v>
      </c>
      <c r="E21" s="37" t="s">
        <v>142</v>
      </c>
    </row>
    <row r="22" customFormat="false" ht="15" hidden="false" customHeight="false" outlineLevel="0" collapsed="false">
      <c r="A22" s="15" t="s">
        <v>148</v>
      </c>
      <c r="B22" s="17" t="n">
        <v>58</v>
      </c>
      <c r="C22" s="17" t="n">
        <v>55</v>
      </c>
      <c r="D22" s="42" t="n">
        <f aca="false">B22-C22</f>
        <v>3</v>
      </c>
      <c r="E22" s="39" t="s">
        <v>142</v>
      </c>
    </row>
    <row r="23" customFormat="false" ht="15" hidden="false" customHeight="false" outlineLevel="0" collapsed="false">
      <c r="A23" s="8" t="s">
        <v>149</v>
      </c>
      <c r="B23" s="10" t="n">
        <v>62</v>
      </c>
      <c r="C23" s="10" t="n">
        <v>58</v>
      </c>
      <c r="D23" s="43" t="n">
        <f aca="false">B23-C23</f>
        <v>4</v>
      </c>
      <c r="E23" s="37" t="s">
        <v>142</v>
      </c>
    </row>
  </sheetData>
  <mergeCells count="2">
    <mergeCell ref="A1:F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23.85" hidden="false" customHeight="false" outlineLevel="0" collapsed="false">
      <c r="A1" s="6" t="s">
        <v>150</v>
      </c>
      <c r="B1" s="6" t="s">
        <v>151</v>
      </c>
      <c r="C1" s="6" t="s">
        <v>152</v>
      </c>
      <c r="D1" s="6" t="s">
        <v>153</v>
      </c>
      <c r="E1" s="6" t="s">
        <v>154</v>
      </c>
      <c r="F1" s="6" t="s">
        <v>155</v>
      </c>
      <c r="G1" s="6" t="s">
        <v>156</v>
      </c>
      <c r="H1" s="6" t="s">
        <v>157</v>
      </c>
    </row>
    <row r="2" customFormat="false" ht="15" hidden="false" customHeight="true" outlineLevel="0" collapsed="false">
      <c r="A2" s="44" t="s">
        <v>158</v>
      </c>
      <c r="B2" s="44"/>
      <c r="C2" s="44"/>
      <c r="D2" s="44"/>
      <c r="E2" s="44"/>
      <c r="F2" s="44"/>
      <c r="G2" s="44"/>
      <c r="H2" s="44"/>
    </row>
    <row r="3" customFormat="false" ht="15" hidden="false" customHeight="false" outlineLevel="0" collapsed="false">
      <c r="A3" s="8" t="s">
        <v>159</v>
      </c>
      <c r="B3" s="9" t="s">
        <v>160</v>
      </c>
      <c r="C3" s="11" t="n">
        <v>3650000</v>
      </c>
      <c r="D3" s="12" t="n">
        <f aca="false">C3*12</f>
        <v>43800000</v>
      </c>
      <c r="E3" s="11" t="n">
        <v>45358276</v>
      </c>
      <c r="F3" s="45" t="n">
        <f aca="false">E3-D3</f>
        <v>1558276</v>
      </c>
      <c r="G3" s="46" t="n">
        <f aca="false">F3/D3</f>
        <v>0.0355770776255708</v>
      </c>
      <c r="H3" s="37" t="s">
        <v>161</v>
      </c>
    </row>
    <row r="4" customFormat="false" ht="15" hidden="false" customHeight="false" outlineLevel="0" collapsed="false">
      <c r="A4" s="15" t="s">
        <v>162</v>
      </c>
      <c r="B4" s="16" t="s">
        <v>163</v>
      </c>
      <c r="C4" s="18" t="n">
        <v>820000</v>
      </c>
      <c r="D4" s="19" t="n">
        <f aca="false">C4*12</f>
        <v>9840000</v>
      </c>
      <c r="E4" s="18" t="n">
        <v>9849844</v>
      </c>
      <c r="F4" s="47" t="n">
        <f aca="false">E4-D4</f>
        <v>9844</v>
      </c>
      <c r="G4" s="48" t="n">
        <f aca="false">F4/D4</f>
        <v>0.00100040650406504</v>
      </c>
      <c r="H4" s="39" t="s">
        <v>161</v>
      </c>
    </row>
    <row r="5" customFormat="false" ht="15" hidden="false" customHeight="false" outlineLevel="0" collapsed="false">
      <c r="A5" s="8" t="s">
        <v>164</v>
      </c>
      <c r="B5" s="9" t="s">
        <v>160</v>
      </c>
      <c r="C5" s="11" t="n">
        <v>145000</v>
      </c>
      <c r="D5" s="12" t="n">
        <f aca="false">C5*12</f>
        <v>1740000</v>
      </c>
      <c r="E5" s="11" t="n">
        <v>1863542</v>
      </c>
      <c r="F5" s="45" t="n">
        <f aca="false">E5-D5</f>
        <v>123542</v>
      </c>
      <c r="G5" s="46" t="n">
        <f aca="false">F5/D5</f>
        <v>0.0710011494252874</v>
      </c>
      <c r="H5" s="37" t="s">
        <v>165</v>
      </c>
    </row>
    <row r="6" customFormat="false" ht="15" hidden="false" customHeight="false" outlineLevel="0" collapsed="false">
      <c r="A6" s="15" t="s">
        <v>166</v>
      </c>
      <c r="B6" s="16" t="s">
        <v>167</v>
      </c>
      <c r="C6" s="18" t="n">
        <v>92000</v>
      </c>
      <c r="D6" s="19" t="n">
        <f aca="false">C6*12</f>
        <v>1104000</v>
      </c>
      <c r="E6" s="18" t="n">
        <v>1146977</v>
      </c>
      <c r="F6" s="47" t="n">
        <f aca="false">E6-D6</f>
        <v>42977</v>
      </c>
      <c r="G6" s="48" t="n">
        <f aca="false">F6/D6</f>
        <v>0.0389284420289855</v>
      </c>
      <c r="H6" s="39" t="s">
        <v>161</v>
      </c>
    </row>
    <row r="7" customFormat="false" ht="15" hidden="false" customHeight="false" outlineLevel="0" collapsed="false">
      <c r="A7" s="8" t="s">
        <v>168</v>
      </c>
      <c r="B7" s="9" t="s">
        <v>169</v>
      </c>
      <c r="C7" s="11" t="n">
        <v>68000</v>
      </c>
      <c r="D7" s="12" t="n">
        <f aca="false">C7*12</f>
        <v>816000</v>
      </c>
      <c r="E7" s="11" t="n">
        <v>872678</v>
      </c>
      <c r="F7" s="45" t="n">
        <f aca="false">E7-D7</f>
        <v>56678</v>
      </c>
      <c r="G7" s="46" t="n">
        <f aca="false">F7/D7</f>
        <v>0.0694583333333333</v>
      </c>
      <c r="H7" s="37" t="s">
        <v>165</v>
      </c>
    </row>
    <row r="8" customFormat="false" ht="15" hidden="false" customHeight="false" outlineLevel="0" collapsed="false">
      <c r="A8" s="15" t="s">
        <v>170</v>
      </c>
      <c r="B8" s="16" t="s">
        <v>171</v>
      </c>
      <c r="C8" s="18" t="n">
        <v>38000</v>
      </c>
      <c r="D8" s="19" t="n">
        <f aca="false">C8*12</f>
        <v>456000</v>
      </c>
      <c r="E8" s="18" t="n">
        <v>468343</v>
      </c>
      <c r="F8" s="47" t="n">
        <f aca="false">E8-D8</f>
        <v>12343</v>
      </c>
      <c r="G8" s="48" t="n">
        <f aca="false">F8/D8</f>
        <v>0.0270679824561404</v>
      </c>
      <c r="H8" s="39" t="s">
        <v>161</v>
      </c>
    </row>
    <row r="9" customFormat="false" ht="15" hidden="false" customHeight="false" outlineLevel="0" collapsed="false">
      <c r="A9" s="8" t="s">
        <v>172</v>
      </c>
      <c r="B9" s="9" t="s">
        <v>69</v>
      </c>
      <c r="C9" s="11" t="n">
        <v>24000</v>
      </c>
      <c r="D9" s="12" t="n">
        <f aca="false">C9*12</f>
        <v>288000</v>
      </c>
      <c r="E9" s="11" t="n">
        <v>296838</v>
      </c>
      <c r="F9" s="45" t="n">
        <f aca="false">E9-D9</f>
        <v>8838</v>
      </c>
      <c r="G9" s="46" t="n">
        <f aca="false">F9/D9</f>
        <v>0.0306875</v>
      </c>
      <c r="H9" s="37" t="s">
        <v>161</v>
      </c>
    </row>
    <row r="10" customFormat="false" ht="15" hidden="false" customHeight="false" outlineLevel="0" collapsed="false">
      <c r="A10" s="15" t="s">
        <v>173</v>
      </c>
      <c r="B10" s="16" t="s">
        <v>174</v>
      </c>
      <c r="C10" s="18" t="n">
        <v>18000</v>
      </c>
      <c r="D10" s="19" t="n">
        <f aca="false">C10*12</f>
        <v>216000</v>
      </c>
      <c r="E10" s="18" t="n">
        <v>212431</v>
      </c>
      <c r="F10" s="47" t="n">
        <f aca="false">E10-D10</f>
        <v>-3569</v>
      </c>
      <c r="G10" s="48" t="n">
        <f aca="false">F10/D10</f>
        <v>-0.0165231481481481</v>
      </c>
      <c r="H10" s="39" t="s">
        <v>161</v>
      </c>
    </row>
    <row r="11" customFormat="false" ht="15" hidden="false" customHeight="false" outlineLevel="0" collapsed="false">
      <c r="A11" s="8" t="s">
        <v>175</v>
      </c>
      <c r="B11" s="9" t="s">
        <v>176</v>
      </c>
      <c r="C11" s="11" t="n">
        <v>15000</v>
      </c>
      <c r="D11" s="12" t="n">
        <f aca="false">C11*12</f>
        <v>180000</v>
      </c>
      <c r="E11" s="11" t="n">
        <v>174038</v>
      </c>
      <c r="F11" s="45" t="n">
        <f aca="false">E11-D11</f>
        <v>-5962</v>
      </c>
      <c r="G11" s="46" t="n">
        <f aca="false">F11/D11</f>
        <v>-0.0331222222222222</v>
      </c>
      <c r="H11" s="37" t="s">
        <v>161</v>
      </c>
    </row>
    <row r="12" customFormat="false" ht="15" hidden="false" customHeight="false" outlineLevel="0" collapsed="false">
      <c r="A12" s="15" t="s">
        <v>177</v>
      </c>
      <c r="B12" s="16" t="s">
        <v>178</v>
      </c>
      <c r="C12" s="18" t="n">
        <v>22000</v>
      </c>
      <c r="D12" s="19" t="n">
        <f aca="false">C12*12</f>
        <v>264000</v>
      </c>
      <c r="E12" s="18" t="n">
        <v>285435</v>
      </c>
      <c r="F12" s="47" t="n">
        <f aca="false">E12-D12</f>
        <v>21435</v>
      </c>
      <c r="G12" s="48" t="n">
        <f aca="false">F12/D12</f>
        <v>0.0811931818181818</v>
      </c>
      <c r="H12" s="39" t="s">
        <v>165</v>
      </c>
    </row>
    <row r="13" customFormat="false" ht="15" hidden="false" customHeight="false" outlineLevel="0" collapsed="false">
      <c r="A13" s="22" t="s">
        <v>179</v>
      </c>
      <c r="B13" s="23"/>
      <c r="C13" s="49" t="n">
        <f aca="false">SUM(C3:C12)</f>
        <v>4892000</v>
      </c>
      <c r="D13" s="49" t="n">
        <f aca="false">SUM(D3:D12)</f>
        <v>58704000</v>
      </c>
      <c r="E13" s="49" t="n">
        <f aca="false">SUM(E3:E12)</f>
        <v>60528402</v>
      </c>
      <c r="F13" s="49" t="n">
        <f aca="false">SUM(F3:F12)</f>
        <v>1824402</v>
      </c>
      <c r="G13" s="23"/>
      <c r="H13" s="23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6" t="s">
        <v>180</v>
      </c>
      <c r="B1" s="6" t="s">
        <v>181</v>
      </c>
      <c r="C1" s="6" t="s">
        <v>182</v>
      </c>
      <c r="D1" s="6" t="s">
        <v>87</v>
      </c>
      <c r="E1" s="6" t="s">
        <v>88</v>
      </c>
      <c r="F1" s="6" t="s">
        <v>183</v>
      </c>
      <c r="G1" s="6" t="s">
        <v>184</v>
      </c>
      <c r="H1" s="6" t="s">
        <v>185</v>
      </c>
      <c r="I1" s="6" t="s">
        <v>186</v>
      </c>
      <c r="J1" s="6" t="s">
        <v>187</v>
      </c>
    </row>
    <row r="2" customFormat="false" ht="15" hidden="false" customHeight="false" outlineLevel="0" collapsed="false">
      <c r="A2" s="15" t="s">
        <v>188</v>
      </c>
      <c r="B2" s="16" t="s">
        <v>189</v>
      </c>
      <c r="C2" s="17" t="n">
        <v>60000</v>
      </c>
      <c r="D2" s="50" t="n">
        <v>0.18</v>
      </c>
      <c r="E2" s="51" t="n">
        <v>0.048</v>
      </c>
      <c r="F2" s="39" t="n">
        <v>42</v>
      </c>
      <c r="G2" s="50" t="n">
        <v>0.75</v>
      </c>
      <c r="H2" s="39" t="n">
        <v>32</v>
      </c>
      <c r="I2" s="52" t="n">
        <v>8.5</v>
      </c>
      <c r="J2" s="53" t="n">
        <v>51.3</v>
      </c>
    </row>
    <row r="3" customFormat="false" ht="15" hidden="false" customHeight="false" outlineLevel="0" collapsed="false">
      <c r="A3" s="8" t="s">
        <v>190</v>
      </c>
      <c r="B3" s="9" t="s">
        <v>189</v>
      </c>
      <c r="C3" s="10" t="n">
        <v>9000</v>
      </c>
      <c r="D3" s="54" t="n">
        <v>0.12</v>
      </c>
      <c r="E3" s="55" t="n">
        <v>0.042</v>
      </c>
      <c r="F3" s="37" t="n">
        <v>51</v>
      </c>
      <c r="G3" s="54" t="n">
        <v>0.73</v>
      </c>
      <c r="H3" s="37" t="n">
        <v>40</v>
      </c>
      <c r="I3" s="56" t="n">
        <v>12</v>
      </c>
      <c r="J3" s="57" t="n">
        <v>2.8</v>
      </c>
    </row>
    <row r="4" customFormat="false" ht="15" hidden="false" customHeight="false" outlineLevel="0" collapsed="false">
      <c r="A4" s="15" t="s">
        <v>191</v>
      </c>
      <c r="B4" s="16" t="s">
        <v>192</v>
      </c>
      <c r="C4" s="17" t="n">
        <v>80000</v>
      </c>
      <c r="D4" s="50" t="n">
        <v>0.26</v>
      </c>
      <c r="E4" s="51" t="n">
        <v>0.058</v>
      </c>
      <c r="F4" s="39" t="n">
        <v>18</v>
      </c>
      <c r="G4" s="50" t="n">
        <v>0.7</v>
      </c>
      <c r="H4" s="39" t="n">
        <v>18</v>
      </c>
      <c r="I4" s="52" t="n">
        <v>6.5</v>
      </c>
      <c r="J4" s="53" t="n">
        <v>28</v>
      </c>
    </row>
    <row r="5" customFormat="false" ht="15" hidden="false" customHeight="false" outlineLevel="0" collapsed="false">
      <c r="A5" s="8" t="s">
        <v>193</v>
      </c>
      <c r="B5" s="9" t="s">
        <v>194</v>
      </c>
      <c r="C5" s="10" t="n">
        <v>22000</v>
      </c>
      <c r="D5" s="54" t="n">
        <v>0.2</v>
      </c>
      <c r="E5" s="55" t="n">
        <v>0.045</v>
      </c>
      <c r="F5" s="37" t="n">
        <v>38</v>
      </c>
      <c r="G5" s="54" t="n">
        <v>0.72</v>
      </c>
      <c r="H5" s="37" t="n">
        <v>28</v>
      </c>
      <c r="I5" s="56" t="n">
        <v>9</v>
      </c>
      <c r="J5" s="57" t="n">
        <v>5.8</v>
      </c>
    </row>
    <row r="6" customFormat="false" ht="15" hidden="false" customHeight="false" outlineLevel="0" collapsed="false">
      <c r="A6" s="15" t="s">
        <v>195</v>
      </c>
      <c r="B6" s="16" t="s">
        <v>196</v>
      </c>
      <c r="C6" s="17" t="n">
        <v>35000</v>
      </c>
      <c r="D6" s="50" t="n">
        <v>0.24</v>
      </c>
      <c r="E6" s="51" t="n">
        <v>0.055</v>
      </c>
      <c r="F6" s="39" t="n">
        <v>22</v>
      </c>
      <c r="G6" s="50" t="n">
        <v>0.69</v>
      </c>
      <c r="H6" s="39" t="n">
        <v>20</v>
      </c>
      <c r="I6" s="52" t="n">
        <v>7.5</v>
      </c>
      <c r="J6" s="53" t="n">
        <v>9.9</v>
      </c>
    </row>
    <row r="7" customFormat="false" ht="15" hidden="false" customHeight="false" outlineLevel="0" collapsed="false">
      <c r="A7" s="8" t="s">
        <v>197</v>
      </c>
      <c r="B7" s="9" t="s">
        <v>198</v>
      </c>
      <c r="C7" s="10" t="n">
        <v>8000</v>
      </c>
      <c r="D7" s="54" t="n">
        <v>0.21</v>
      </c>
      <c r="E7" s="55" t="n">
        <v>0.05</v>
      </c>
      <c r="F7" s="37" t="n">
        <v>28</v>
      </c>
      <c r="G7" s="54" t="n">
        <v>0.68</v>
      </c>
      <c r="H7" s="37" t="n">
        <v>24</v>
      </c>
      <c r="I7" s="56" t="n">
        <v>8</v>
      </c>
      <c r="J7" s="57" t="n">
        <v>2.1</v>
      </c>
    </row>
    <row r="8" customFormat="false" ht="15" hidden="false" customHeight="false" outlineLevel="0" collapsed="false">
      <c r="A8" s="15" t="s">
        <v>199</v>
      </c>
      <c r="B8" s="16" t="s">
        <v>200</v>
      </c>
      <c r="C8" s="17" t="s">
        <v>201</v>
      </c>
      <c r="D8" s="50" t="n">
        <v>0.22</v>
      </c>
      <c r="E8" s="51" t="n">
        <v>0.053</v>
      </c>
      <c r="F8" s="39" t="n">
        <v>30</v>
      </c>
      <c r="G8" s="50" t="n">
        <v>0.68</v>
      </c>
      <c r="H8" s="39" t="n">
        <v>24</v>
      </c>
      <c r="I8" s="52" t="n">
        <v>8</v>
      </c>
      <c r="J8" s="53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6"/>
  </cols>
  <sheetData>
    <row r="1" customFormat="false" ht="15" hidden="false" customHeight="true" outlineLevel="0" collapsed="false">
      <c r="A1" s="58" t="s">
        <v>202</v>
      </c>
      <c r="B1" s="58"/>
      <c r="C1" s="58"/>
      <c r="D1" s="58"/>
      <c r="E1" s="58"/>
      <c r="F1" s="58"/>
      <c r="G1" s="58"/>
      <c r="H1" s="58"/>
      <c r="I1" s="58"/>
    </row>
    <row r="2" customFormat="false" ht="23.85" hidden="false" customHeight="false" outlineLevel="0" collapsed="false">
      <c r="A2" s="59" t="s">
        <v>203</v>
      </c>
      <c r="B2" s="59" t="s">
        <v>204</v>
      </c>
      <c r="C2" s="59" t="s">
        <v>205</v>
      </c>
      <c r="D2" s="59" t="s">
        <v>206</v>
      </c>
      <c r="E2" s="59" t="s">
        <v>207</v>
      </c>
      <c r="F2" s="59" t="s">
        <v>208</v>
      </c>
      <c r="G2" s="59" t="s">
        <v>209</v>
      </c>
      <c r="H2" s="59" t="s">
        <v>210</v>
      </c>
      <c r="I2" s="59" t="s">
        <v>211</v>
      </c>
    </row>
    <row r="3" customFormat="false" ht="49.5" hidden="false" customHeight="true" outlineLevel="0" collapsed="false">
      <c r="A3" s="60" t="s">
        <v>212</v>
      </c>
      <c r="B3" s="61" t="s">
        <v>213</v>
      </c>
      <c r="C3" s="62" t="s">
        <v>214</v>
      </c>
      <c r="D3" s="61" t="s">
        <v>215</v>
      </c>
      <c r="E3" s="61" t="s">
        <v>216</v>
      </c>
      <c r="F3" s="61" t="s">
        <v>217</v>
      </c>
      <c r="G3" s="61" t="n">
        <v>545</v>
      </c>
      <c r="H3" s="61" t="n">
        <v>0</v>
      </c>
      <c r="I3" s="62" t="s">
        <v>218</v>
      </c>
    </row>
    <row r="4" customFormat="false" ht="49.5" hidden="false" customHeight="true" outlineLevel="0" collapsed="false">
      <c r="A4" s="63" t="s">
        <v>219</v>
      </c>
      <c r="B4" s="64" t="s">
        <v>220</v>
      </c>
      <c r="C4" s="65" t="s">
        <v>221</v>
      </c>
      <c r="D4" s="64" t="s">
        <v>222</v>
      </c>
      <c r="E4" s="64" t="s">
        <v>223</v>
      </c>
      <c r="F4" s="64" t="s">
        <v>224</v>
      </c>
      <c r="G4" s="64" t="n">
        <v>520</v>
      </c>
      <c r="H4" s="64" t="n">
        <v>180</v>
      </c>
      <c r="I4" s="65" t="s">
        <v>225</v>
      </c>
    </row>
    <row r="5" customFormat="false" ht="49.5" hidden="false" customHeight="true" outlineLevel="0" collapsed="false">
      <c r="A5" s="66" t="s">
        <v>226</v>
      </c>
      <c r="B5" s="67" t="s">
        <v>227</v>
      </c>
      <c r="C5" s="68" t="s">
        <v>228</v>
      </c>
      <c r="D5" s="67" t="s">
        <v>229</v>
      </c>
      <c r="E5" s="67" t="s">
        <v>230</v>
      </c>
      <c r="F5" s="67" t="s">
        <v>231</v>
      </c>
      <c r="G5" s="67" t="n">
        <v>472</v>
      </c>
      <c r="H5" s="67" t="n">
        <v>-320</v>
      </c>
      <c r="I5" s="68" t="s">
        <v>232</v>
      </c>
    </row>
    <row r="6" customFormat="false" ht="49.5" hidden="false" customHeight="true" outlineLevel="0" collapsed="false">
      <c r="A6" s="69" t="s">
        <v>233</v>
      </c>
      <c r="B6" s="70" t="s">
        <v>234</v>
      </c>
      <c r="C6" s="71" t="s">
        <v>235</v>
      </c>
      <c r="D6" s="70" t="s">
        <v>236</v>
      </c>
      <c r="E6" s="70" t="s">
        <v>237</v>
      </c>
      <c r="F6" s="70" t="s">
        <v>238</v>
      </c>
      <c r="G6" s="70" t="n">
        <v>720</v>
      </c>
      <c r="H6" s="70" t="n">
        <v>850</v>
      </c>
      <c r="I6" s="71" t="s">
        <v>239</v>
      </c>
    </row>
    <row r="9" customFormat="false" ht="15" hidden="false" customHeight="true" outlineLevel="0" collapsed="false">
      <c r="A9" s="72" t="s">
        <v>240</v>
      </c>
      <c r="B9" s="72"/>
      <c r="C9" s="72"/>
      <c r="D9" s="72"/>
      <c r="E9" s="72"/>
      <c r="F9" s="72"/>
      <c r="G9" s="72"/>
      <c r="H9" s="72"/>
      <c r="I9" s="72"/>
    </row>
    <row r="10" customFormat="false" ht="15" hidden="false" customHeight="false" outlineLevel="0" collapsed="false">
      <c r="A10" s="73" t="s">
        <v>241</v>
      </c>
      <c r="B10" s="73"/>
      <c r="C10" s="73"/>
      <c r="D10" s="73"/>
      <c r="E10" s="73"/>
      <c r="F10" s="73"/>
      <c r="G10" s="73"/>
      <c r="H10" s="73"/>
      <c r="I10" s="73"/>
    </row>
    <row r="11" customFormat="false" ht="15" hidden="false" customHeight="false" outlineLevel="0" collapsed="false">
      <c r="A11" s="74" t="s">
        <v>242</v>
      </c>
      <c r="B11" s="74"/>
      <c r="C11" s="74"/>
      <c r="D11" s="74"/>
      <c r="E11" s="74"/>
      <c r="F11" s="74"/>
      <c r="G11" s="74"/>
      <c r="H11" s="74"/>
      <c r="I11" s="74"/>
    </row>
    <row r="12" customFormat="false" ht="15" hidden="false" customHeight="false" outlineLevel="0" collapsed="false">
      <c r="A12" s="75" t="s">
        <v>243</v>
      </c>
      <c r="B12" s="75"/>
      <c r="C12" s="75"/>
      <c r="D12" s="75"/>
      <c r="E12" s="75"/>
      <c r="F12" s="75"/>
      <c r="G12" s="75"/>
      <c r="H12" s="75"/>
      <c r="I12" s="75"/>
    </row>
    <row r="13" customFormat="false" ht="15" hidden="false" customHeight="false" outlineLevel="0" collapsed="false">
      <c r="A13" s="76" t="s">
        <v>244</v>
      </c>
      <c r="B13" s="76"/>
      <c r="C13" s="76"/>
      <c r="D13" s="76"/>
      <c r="E13" s="76"/>
      <c r="F13" s="76"/>
      <c r="G13" s="76"/>
      <c r="H13" s="76"/>
      <c r="I13" s="76"/>
    </row>
    <row r="14" customFormat="false" ht="15" hidden="false" customHeight="false" outlineLevel="0" collapsed="false">
      <c r="A14" s="77" t="s">
        <v>245</v>
      </c>
      <c r="B14" s="77"/>
      <c r="C14" s="77"/>
      <c r="D14" s="77"/>
      <c r="E14" s="77"/>
      <c r="F14" s="77"/>
      <c r="G14" s="77"/>
      <c r="H14" s="77"/>
      <c r="I14" s="77"/>
    </row>
    <row r="15" customFormat="false" ht="15" hidden="false" customHeight="false" outlineLevel="0" collapsed="false">
      <c r="A15" s="77" t="s">
        <v>246</v>
      </c>
      <c r="B15" s="77"/>
      <c r="C15" s="77"/>
      <c r="D15" s="77"/>
      <c r="E15" s="77"/>
      <c r="F15" s="77"/>
      <c r="G15" s="77"/>
      <c r="H15" s="77"/>
      <c r="I15" s="77"/>
    </row>
    <row r="16" customFormat="false" ht="15" hidden="false" customHeight="false" outlineLevel="0" collapsed="false">
      <c r="A16" s="77" t="s">
        <v>247</v>
      </c>
      <c r="B16" s="77"/>
      <c r="C16" s="77"/>
      <c r="D16" s="77"/>
      <c r="E16" s="77"/>
      <c r="F16" s="77"/>
      <c r="G16" s="77"/>
      <c r="H16" s="77"/>
      <c r="I16" s="77"/>
    </row>
    <row r="17" customFormat="false" ht="15" hidden="false" customHeight="false" outlineLevel="0" collapsed="false">
      <c r="A17" s="77" t="s">
        <v>248</v>
      </c>
      <c r="B17" s="77"/>
      <c r="C17" s="77"/>
      <c r="D17" s="77"/>
      <c r="E17" s="77"/>
      <c r="F17" s="77"/>
      <c r="G17" s="77"/>
      <c r="H17" s="77"/>
      <c r="I17" s="77"/>
    </row>
  </sheetData>
  <mergeCells count="10">
    <mergeCell ref="A1:I1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30"/>
  </cols>
  <sheetData>
    <row r="1" customFormat="false" ht="15" hidden="false" customHeight="true" outlineLevel="0" collapsed="false">
      <c r="A1" s="78" t="s">
        <v>249</v>
      </c>
      <c r="B1" s="78"/>
      <c r="C1" s="78"/>
      <c r="D1" s="78"/>
    </row>
    <row r="2" customFormat="false" ht="15" hidden="false" customHeight="false" outlineLevel="0" collapsed="false">
      <c r="A2" s="15" t="s">
        <v>250</v>
      </c>
      <c r="B2" s="79" t="n">
        <v>512</v>
      </c>
      <c r="C2" s="80" t="s">
        <v>251</v>
      </c>
    </row>
    <row r="3" customFormat="false" ht="15" hidden="false" customHeight="false" outlineLevel="0" collapsed="false">
      <c r="A3" s="8" t="s">
        <v>252</v>
      </c>
      <c r="B3" s="81" t="n">
        <v>0.184</v>
      </c>
      <c r="C3" s="82" t="s">
        <v>253</v>
      </c>
    </row>
    <row r="4" customFormat="false" ht="15" hidden="false" customHeight="false" outlineLevel="0" collapsed="false">
      <c r="A4" s="15" t="s">
        <v>254</v>
      </c>
      <c r="B4" s="83" t="n">
        <v>0.048</v>
      </c>
      <c r="C4" s="80" t="s">
        <v>255</v>
      </c>
    </row>
    <row r="5" customFormat="false" ht="15" hidden="false" customHeight="false" outlineLevel="0" collapsed="false">
      <c r="A5" s="8" t="s">
        <v>183</v>
      </c>
      <c r="B5" s="84" t="n">
        <v>42</v>
      </c>
      <c r="C5" s="82" t="s">
        <v>256</v>
      </c>
    </row>
    <row r="6" customFormat="false" ht="15" hidden="false" customHeight="false" outlineLevel="0" collapsed="false">
      <c r="A6" s="15" t="s">
        <v>257</v>
      </c>
      <c r="B6" s="85" t="n">
        <v>0.88</v>
      </c>
      <c r="C6" s="80" t="s">
        <v>258</v>
      </c>
    </row>
    <row r="7" customFormat="false" ht="15" hidden="false" customHeight="false" outlineLevel="0" collapsed="false">
      <c r="A7" s="8" t="s">
        <v>259</v>
      </c>
      <c r="B7" s="86" t="n">
        <v>32</v>
      </c>
      <c r="C7" s="82" t="s">
        <v>260</v>
      </c>
    </row>
    <row r="8" customFormat="false" ht="15" hidden="false" customHeight="false" outlineLevel="0" collapsed="false">
      <c r="A8" s="15" t="s">
        <v>261</v>
      </c>
      <c r="B8" s="85" t="n">
        <v>0.62</v>
      </c>
      <c r="C8" s="80" t="s">
        <v>262</v>
      </c>
    </row>
    <row r="9" customFormat="false" ht="15" hidden="false" customHeight="false" outlineLevel="0" collapsed="false">
      <c r="A9" s="8" t="s">
        <v>263</v>
      </c>
      <c r="B9" s="87" t="n">
        <v>0.68</v>
      </c>
      <c r="C9" s="82" t="s">
        <v>264</v>
      </c>
    </row>
    <row r="10" customFormat="false" ht="15" hidden="false" customHeight="false" outlineLevel="0" collapsed="false">
      <c r="A10" s="15" t="s">
        <v>265</v>
      </c>
      <c r="B10" s="88" t="n">
        <v>4892000</v>
      </c>
      <c r="C10" s="80" t="s">
        <v>266</v>
      </c>
    </row>
    <row r="11" customFormat="false" ht="15" hidden="false" customHeight="false" outlineLevel="0" collapsed="false">
      <c r="A11" s="8" t="s">
        <v>267</v>
      </c>
      <c r="B11" s="89" t="n">
        <v>799000</v>
      </c>
      <c r="C11" s="82" t="s">
        <v>268</v>
      </c>
    </row>
    <row r="12" customFormat="false" ht="15" hidden="false" customHeight="false" outlineLevel="0" collapsed="false">
      <c r="A12" s="15" t="s">
        <v>269</v>
      </c>
      <c r="B12" s="79" t="n">
        <v>14</v>
      </c>
      <c r="C12" s="80" t="s">
        <v>270</v>
      </c>
    </row>
    <row r="13" customFormat="false" ht="15" hidden="false" customHeight="false" outlineLevel="0" collapsed="false">
      <c r="A13" s="8" t="s">
        <v>271</v>
      </c>
      <c r="B13" s="86" t="n">
        <v>22</v>
      </c>
      <c r="C13" s="82" t="s">
        <v>272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2026-06-28T13:29:53Z</dcterms:created>
  <dc:creator>openpyxl</dc:creator>
  <dc:description/>
  <dc:language>en-US</dc:language>
  <cp:lastModifiedBy/>
  <dcterms:modified xsi:type="dcterms:W3CDTF">2026-06-28T13:29:53Z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